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0" windowHeight="8880" activeTab="5"/>
  </bookViews>
  <sheets>
    <sheet name="1" sheetId="1" r:id="rId1"/>
    <sheet name="2" sheetId="2" r:id="rId2"/>
    <sheet name="3" sheetId="4" r:id="rId3"/>
    <sheet name="4" sheetId="5" r:id="rId4"/>
    <sheet name="5" sheetId="6" r:id="rId5"/>
    <sheet name="6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<sst xmlns="http://schemas.openxmlformats.org/spreadsheetml/2006/main" count="517" uniqueCount="159">
  <si>
    <r>
      <rPr>
        <b/>
        <sz val="8"/>
        <rFont val="SimSun"/>
        <charset val="134"/>
      </rPr>
      <t>门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店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业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绩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周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P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K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奖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金</t>
    </r>
  </si>
  <si>
    <r>
      <rPr>
        <b/>
        <sz val="8"/>
        <rFont val="SimSun"/>
        <charset val="134"/>
      </rPr>
      <t>周期</t>
    </r>
  </si>
  <si>
    <r>
      <rPr>
        <b/>
        <sz val="8"/>
        <rFont val="SimSun"/>
        <charset val="134"/>
      </rPr>
      <t>PK项目</t>
    </r>
  </si>
  <si>
    <r>
      <rPr>
        <b/>
        <sz val="8"/>
        <rFont val="SimSun"/>
        <charset val="134"/>
      </rPr>
      <t>PK赛场</t>
    </r>
  </si>
  <si>
    <r>
      <rPr>
        <b/>
        <sz val="8"/>
        <rFont val="SimSun"/>
        <charset val="134"/>
      </rPr>
      <t>门店</t>
    </r>
  </si>
  <si>
    <r>
      <rPr>
        <b/>
        <sz val="8"/>
        <rFont val="SimSun"/>
        <charset val="134"/>
      </rPr>
      <t>名次</t>
    </r>
  </si>
  <si>
    <r>
      <rPr>
        <b/>
        <sz val="8"/>
        <rFont val="SimSun"/>
        <charset val="134"/>
      </rPr>
      <t>奖金</t>
    </r>
  </si>
  <si>
    <r>
      <rPr>
        <sz val="8"/>
        <rFont val="SimSun"/>
        <charset val="134"/>
      </rPr>
      <t>2月第一周</t>
    </r>
  </si>
  <si>
    <r>
      <rPr>
        <sz val="8"/>
        <rFont val="SimSun"/>
        <charset val="134"/>
      </rPr>
      <t>周环比进步率</t>
    </r>
  </si>
  <si>
    <r>
      <rPr>
        <sz val="8"/>
        <rFont val="SimSun"/>
        <charset val="134"/>
      </rPr>
      <t>白银赛场</t>
    </r>
  </si>
  <si>
    <r>
      <rPr>
        <sz val="8"/>
        <rFont val="SimSun"/>
        <charset val="134"/>
      </rPr>
      <t>石岐大信店</t>
    </r>
  </si>
  <si>
    <r>
      <rPr>
        <sz val="8"/>
        <rFont val="SimSun"/>
        <charset val="134"/>
      </rPr>
      <t>第一名</t>
    </r>
  </si>
  <si>
    <r>
      <rPr>
        <sz val="8"/>
        <rFont val="SimSun"/>
        <charset val="134"/>
      </rPr>
      <t>南村店</t>
    </r>
  </si>
  <si>
    <r>
      <rPr>
        <sz val="8"/>
        <rFont val="SimSun"/>
        <charset val="134"/>
      </rPr>
      <t>第二名</t>
    </r>
  </si>
  <si>
    <r>
      <rPr>
        <sz val="8"/>
        <rFont val="SimSun"/>
        <charset val="134"/>
      </rPr>
      <t>易发街店</t>
    </r>
  </si>
  <si>
    <r>
      <rPr>
        <sz val="8"/>
        <rFont val="SimSun"/>
        <charset val="134"/>
      </rPr>
      <t>第三名</t>
    </r>
  </si>
  <si>
    <r>
      <rPr>
        <sz val="8"/>
        <rFont val="SimSun"/>
        <charset val="134"/>
      </rPr>
      <t>黄金赛场</t>
    </r>
  </si>
  <si>
    <r>
      <rPr>
        <sz val="8"/>
        <rFont val="SimSun"/>
        <charset val="134"/>
      </rPr>
      <t>大涌店</t>
    </r>
  </si>
  <si>
    <r>
      <rPr>
        <sz val="8"/>
        <rFont val="SimSun"/>
        <charset val="134"/>
      </rPr>
      <t>平东店</t>
    </r>
  </si>
  <si>
    <r>
      <rPr>
        <sz val="8"/>
        <rFont val="SimSun"/>
        <charset val="134"/>
      </rPr>
      <t>东升店</t>
    </r>
  </si>
  <si>
    <r>
      <rPr>
        <sz val="8"/>
        <rFont val="SimSun"/>
        <charset val="134"/>
      </rPr>
      <t>铂金赛场</t>
    </r>
  </si>
  <si>
    <r>
      <rPr>
        <sz val="8"/>
        <rFont val="SimSun"/>
        <charset val="134"/>
      </rPr>
      <t>万民城店</t>
    </r>
  </si>
  <si>
    <r>
      <rPr>
        <sz val="8"/>
        <rFont val="SimSun"/>
        <charset val="134"/>
      </rPr>
      <t>拱北店</t>
    </r>
  </si>
  <si>
    <r>
      <rPr>
        <sz val="8"/>
        <rFont val="SimSun"/>
        <charset val="134"/>
      </rPr>
      <t>杏坛店</t>
    </r>
  </si>
  <si>
    <r>
      <rPr>
        <b/>
        <sz val="8"/>
        <rFont val="SimSun"/>
        <charset val="134"/>
      </rPr>
      <t>总金额</t>
    </r>
  </si>
  <si>
    <r>
      <rPr>
        <b/>
        <sz val="8"/>
        <rFont val="SimSun"/>
        <charset val="134"/>
      </rPr>
      <t>门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店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赋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能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学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习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周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P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K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赛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奖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金</t>
    </r>
  </si>
  <si>
    <r>
      <rPr>
        <b/>
        <sz val="8"/>
        <rFont val="SimSun"/>
        <charset val="134"/>
      </rPr>
      <t>3月第一周</t>
    </r>
  </si>
  <si>
    <r>
      <rPr>
        <b/>
        <sz val="8"/>
        <rFont val="SimSun"/>
        <charset val="134"/>
      </rPr>
      <t>《如何开好班前会》</t>
    </r>
  </si>
  <si>
    <r>
      <rPr>
        <b/>
        <sz val="8"/>
        <rFont val="SimSun"/>
        <charset val="134"/>
      </rPr>
      <t>满分状元</t>
    </r>
  </si>
  <si>
    <r>
      <rPr>
        <b/>
        <sz val="8"/>
        <rFont val="SimSun"/>
        <charset val="134"/>
      </rPr>
      <t>人民路店</t>
    </r>
  </si>
  <si>
    <r>
      <rPr>
        <b/>
        <sz val="8"/>
        <rFont val="SimSun"/>
        <charset val="134"/>
      </rPr>
      <t>第一名</t>
    </r>
  </si>
  <si>
    <r>
      <rPr>
        <b/>
        <sz val="8"/>
        <rFont val="SimSun"/>
        <charset val="134"/>
      </rPr>
      <t>满分磅眼</t>
    </r>
  </si>
  <si>
    <r>
      <rPr>
        <b/>
        <sz val="8"/>
        <rFont val="SimSun"/>
        <charset val="134"/>
      </rPr>
      <t>大岭山店</t>
    </r>
  </si>
  <si>
    <r>
      <rPr>
        <b/>
        <sz val="8"/>
        <rFont val="SimSun"/>
        <charset val="134"/>
      </rPr>
      <t>第二名</t>
    </r>
  </si>
  <si>
    <r>
      <rPr>
        <b/>
        <sz val="8"/>
        <rFont val="SimSun"/>
        <charset val="134"/>
      </rPr>
      <t>拱北店</t>
    </r>
  </si>
  <si>
    <r>
      <rPr>
        <b/>
        <sz val="8"/>
        <rFont val="SimSun"/>
        <charset val="134"/>
      </rPr>
      <t>第三名</t>
    </r>
  </si>
  <si>
    <r>
      <rPr>
        <b/>
        <sz val="8"/>
        <rFont val="SimSun"/>
        <charset val="134"/>
      </rPr>
      <t>东涌店</t>
    </r>
  </si>
  <si>
    <r>
      <rPr>
        <b/>
        <sz val="8"/>
        <rFont val="SimSun"/>
        <charset val="134"/>
      </rPr>
      <t>第四名</t>
    </r>
  </si>
  <si>
    <r>
      <rPr>
        <b/>
        <sz val="8"/>
        <rFont val="SimSun"/>
        <charset val="134"/>
      </rPr>
      <t>满分探花</t>
    </r>
  </si>
  <si>
    <r>
      <rPr>
        <b/>
        <sz val="8"/>
        <rFont val="SimSun"/>
        <charset val="134"/>
      </rPr>
      <t>均安店</t>
    </r>
  </si>
  <si>
    <r>
      <rPr>
        <b/>
        <sz val="8"/>
        <rFont val="SimSun"/>
        <charset val="134"/>
      </rPr>
      <t>第五名</t>
    </r>
  </si>
  <si>
    <r>
      <rPr>
        <b/>
        <sz val="8"/>
        <rFont val="SimSun"/>
        <charset val="134"/>
      </rPr>
      <t>四季店</t>
    </r>
  </si>
  <si>
    <r>
      <rPr>
        <b/>
        <sz val="8"/>
        <rFont val="SimSun"/>
        <charset val="134"/>
      </rPr>
      <t>第六名</t>
    </r>
  </si>
  <si>
    <r>
      <rPr>
        <b/>
        <sz val="8"/>
        <rFont val="SimSun"/>
        <charset val="134"/>
      </rPr>
      <t>小北店</t>
    </r>
  </si>
  <si>
    <r>
      <rPr>
        <b/>
        <sz val="8"/>
        <rFont val="SimSun"/>
        <charset val="134"/>
      </rPr>
      <t>第七名</t>
    </r>
  </si>
  <si>
    <r>
      <rPr>
        <b/>
        <sz val="8"/>
        <rFont val="SimSun"/>
        <charset val="134"/>
      </rPr>
      <t>太阳城店</t>
    </r>
  </si>
  <si>
    <r>
      <rPr>
        <b/>
        <sz val="8"/>
        <rFont val="SimSun"/>
        <charset val="134"/>
      </rPr>
      <t>第八名</t>
    </r>
  </si>
  <si>
    <r>
      <rPr>
        <b/>
        <sz val="8"/>
        <rFont val="SimSun"/>
        <charset val="134"/>
      </rPr>
      <t>锦绣店</t>
    </r>
  </si>
  <si>
    <r>
      <rPr>
        <b/>
        <sz val="8"/>
        <rFont val="SimSun"/>
        <charset val="134"/>
      </rPr>
      <t>第九名</t>
    </r>
  </si>
  <si>
    <r>
      <rPr>
        <b/>
        <sz val="8"/>
        <rFont val="SimSun"/>
        <charset val="134"/>
      </rPr>
      <t>博罗石湾店</t>
    </r>
  </si>
  <si>
    <r>
      <rPr>
        <b/>
        <sz val="8"/>
        <rFont val="SimSun"/>
        <charset val="134"/>
      </rPr>
      <t>第十名</t>
    </r>
  </si>
  <si>
    <r>
      <rPr>
        <b/>
        <sz val="8"/>
        <rFont val="SimSun"/>
        <charset val="134"/>
      </rPr>
      <t>3月第二周</t>
    </r>
  </si>
  <si>
    <r>
      <rPr>
        <b/>
        <sz val="8"/>
        <rFont val="SimSun"/>
        <charset val="134"/>
      </rPr>
      <t>《企业文化&amp;践行》</t>
    </r>
  </si>
  <si>
    <r>
      <rPr>
        <b/>
        <sz val="8"/>
        <rFont val="SimSun"/>
        <charset val="134"/>
      </rPr>
      <t>标杆门店</t>
    </r>
  </si>
  <si>
    <r>
      <rPr>
        <b/>
        <sz val="8"/>
        <rFont val="SimSun"/>
        <charset val="134"/>
      </rPr>
      <t>优秀门店</t>
    </r>
  </si>
  <si>
    <r>
      <rPr>
        <b/>
        <sz val="8"/>
        <rFont val="SimSun"/>
        <charset val="134"/>
      </rPr>
      <t>积极门店</t>
    </r>
  </si>
  <si>
    <r>
      <rPr>
        <b/>
        <sz val="8"/>
        <rFont val="微软雅黑"/>
        <charset val="134"/>
      </rPr>
      <t>门</t>
    </r>
    <r>
      <rPr>
        <sz val="8"/>
        <rFont val="微软雅黑"/>
        <charset val="134"/>
      </rPr>
      <t xml:space="preserve"> </t>
    </r>
    <r>
      <rPr>
        <b/>
        <sz val="8"/>
        <rFont val="微软雅黑"/>
        <charset val="134"/>
      </rPr>
      <t>店</t>
    </r>
    <r>
      <rPr>
        <sz val="8"/>
        <rFont val="微软雅黑"/>
        <charset val="134"/>
      </rPr>
      <t xml:space="preserve"> </t>
    </r>
    <r>
      <rPr>
        <b/>
        <sz val="8"/>
        <rFont val="微软雅黑"/>
        <charset val="134"/>
      </rPr>
      <t>产品</t>
    </r>
    <r>
      <rPr>
        <sz val="8"/>
        <rFont val="微软雅黑"/>
        <charset val="134"/>
      </rPr>
      <t xml:space="preserve"> </t>
    </r>
    <r>
      <rPr>
        <b/>
        <sz val="8"/>
        <rFont val="微软雅黑"/>
        <charset val="134"/>
      </rPr>
      <t>周</t>
    </r>
    <r>
      <rPr>
        <sz val="8"/>
        <rFont val="微软雅黑"/>
        <charset val="134"/>
      </rPr>
      <t xml:space="preserve"> </t>
    </r>
    <r>
      <rPr>
        <b/>
        <sz val="8"/>
        <rFont val="微软雅黑"/>
        <charset val="134"/>
      </rPr>
      <t>P</t>
    </r>
    <r>
      <rPr>
        <sz val="8"/>
        <rFont val="微软雅黑"/>
        <charset val="134"/>
      </rPr>
      <t xml:space="preserve"> </t>
    </r>
    <r>
      <rPr>
        <b/>
        <sz val="8"/>
        <rFont val="微软雅黑"/>
        <charset val="134"/>
      </rPr>
      <t>K</t>
    </r>
    <r>
      <rPr>
        <sz val="8"/>
        <rFont val="微软雅黑"/>
        <charset val="134"/>
      </rPr>
      <t xml:space="preserve"> </t>
    </r>
    <r>
      <rPr>
        <b/>
        <sz val="8"/>
        <rFont val="微软雅黑"/>
        <charset val="134"/>
      </rPr>
      <t>奖</t>
    </r>
    <r>
      <rPr>
        <sz val="8"/>
        <rFont val="微软雅黑"/>
        <charset val="134"/>
      </rPr>
      <t xml:space="preserve"> </t>
    </r>
    <r>
      <rPr>
        <b/>
        <sz val="8"/>
        <rFont val="微软雅黑"/>
        <charset val="134"/>
      </rPr>
      <t>金</t>
    </r>
  </si>
  <si>
    <t>周期</t>
  </si>
  <si>
    <t>PK项目</t>
  </si>
  <si>
    <t>PK赛场</t>
  </si>
  <si>
    <t>门店</t>
  </si>
  <si>
    <t>名次</t>
  </si>
  <si>
    <t>奖金</t>
  </si>
  <si>
    <t>1月第一周</t>
  </si>
  <si>
    <t>草莓季</t>
  </si>
  <si>
    <t>白银赛场</t>
  </si>
  <si>
    <t>易发街店</t>
  </si>
  <si>
    <t>第一名</t>
  </si>
  <si>
    <t>石湾店</t>
  </si>
  <si>
    <t>第二名</t>
  </si>
  <si>
    <t>同昌店</t>
  </si>
  <si>
    <t>第三名</t>
  </si>
  <si>
    <t>锦绣店</t>
  </si>
  <si>
    <t>第四名</t>
  </si>
  <si>
    <t>黄金赛场</t>
  </si>
  <si>
    <t>博罗店</t>
  </si>
  <si>
    <t>古镇店</t>
  </si>
  <si>
    <t>三沙店</t>
  </si>
  <si>
    <t>大涌店</t>
  </si>
  <si>
    <t>铂金赛场</t>
  </si>
  <si>
    <t>张家边店</t>
  </si>
  <si>
    <t>南朗店</t>
  </si>
  <si>
    <t>太阳城店</t>
  </si>
  <si>
    <t>龙江店</t>
  </si>
  <si>
    <t>总金额</t>
  </si>
  <si>
    <t>2月第一周</t>
  </si>
  <si>
    <t>经典提拉米苏，五福蛋糕卷，牛乳米蛋糕，纯牛乳软蛋糕</t>
  </si>
  <si>
    <t>2月第二周</t>
  </si>
  <si>
    <t>年货节</t>
  </si>
  <si>
    <t>坦洲店</t>
  </si>
  <si>
    <t>蓝天金地店</t>
  </si>
  <si>
    <t>伦教店</t>
  </si>
  <si>
    <t>沙溪店</t>
  </si>
  <si>
    <t>东升店</t>
  </si>
  <si>
    <t>广钢店</t>
  </si>
  <si>
    <t>均安店</t>
  </si>
  <si>
    <t>第五名</t>
  </si>
  <si>
    <t>拱北店</t>
  </si>
  <si>
    <t>人民路店</t>
  </si>
  <si>
    <t>第六名</t>
  </si>
  <si>
    <t>大岭山店</t>
  </si>
  <si>
    <t>城光荟店</t>
  </si>
  <si>
    <t>石龙店</t>
  </si>
  <si>
    <t>顺昌店</t>
  </si>
  <si>
    <t>容桂店</t>
  </si>
  <si>
    <t>洛溪店</t>
  </si>
  <si>
    <t>华丰店</t>
  </si>
  <si>
    <t>3月第一周</t>
  </si>
  <si>
    <t>铂金赛道产品：全麦核桃包
黄金赛道产品：草莓魔法棒
白银赛道产品：黑金马里奥；核桃马里奥</t>
  </si>
  <si>
    <t>3月第二周</t>
  </si>
  <si>
    <t>青团</t>
  </si>
  <si>
    <t>3月第三周</t>
  </si>
  <si>
    <t>心太软</t>
  </si>
  <si>
    <t>万科店</t>
  </si>
  <si>
    <t>板芙店</t>
  </si>
  <si>
    <t>黄埔店</t>
  </si>
  <si>
    <t>南村店</t>
  </si>
  <si>
    <t>横栏店</t>
  </si>
  <si>
    <t>合计</t>
  </si>
  <si>
    <t>女神节</t>
  </si>
  <si>
    <t>总计</t>
  </si>
  <si>
    <t>牛乳舒芙蕾（桂花味）；牛乳舒芙蕾</t>
  </si>
  <si>
    <t>博罗石湾店</t>
  </si>
  <si>
    <t>大学城店</t>
  </si>
  <si>
    <t>铂金赛道产品：南瓜吐司(袋装)
黄金赛道产品：核桃马里奥，黑金马里奥
白银赛道产品：法式千层挞</t>
  </si>
  <si>
    <t>坦洲锦绣店</t>
  </si>
  <si>
    <t>万民城店</t>
  </si>
  <si>
    <t>南海万科店</t>
  </si>
  <si>
    <t>勒流店</t>
  </si>
  <si>
    <t>东涌店</t>
  </si>
  <si>
    <t>聚满分南村剑桥郡店</t>
  </si>
  <si>
    <t>聚满分伦教店[12.27-28</t>
  </si>
  <si>
    <t>聚满分博罗石湾店[12.27-28</t>
  </si>
  <si>
    <t>聚满分南朗店</t>
  </si>
  <si>
    <t>聚满分坦洲锦绣店</t>
  </si>
  <si>
    <t>聚满分顺昌店</t>
  </si>
  <si>
    <t>聚满分北滘店[12.27-28</t>
  </si>
  <si>
    <t>第七名</t>
  </si>
  <si>
    <t>聚满分陈村店</t>
  </si>
  <si>
    <t>第八名</t>
  </si>
  <si>
    <t>聚满分板芙店</t>
  </si>
  <si>
    <t>第九名</t>
  </si>
  <si>
    <t>5月第一周</t>
  </si>
  <si>
    <t xml:space="preserve">芋泥千层切件、巧克力脆脆千层切件、榴莲千层切件
</t>
  </si>
  <si>
    <t>南村剑桥郡店</t>
  </si>
  <si>
    <t>铂金赛道产品：北海道吐司
黄金赛道产品：法式千层挞
白银赛道产品：核桃马里奥，黑金马里奥</t>
  </si>
  <si>
    <t>港口店</t>
  </si>
  <si>
    <t>九江店</t>
  </si>
  <si>
    <t>杏坛店</t>
  </si>
  <si>
    <t>生巧雪媚娘PK</t>
  </si>
  <si>
    <t>平东店</t>
  </si>
  <si>
    <t>母亲节</t>
  </si>
  <si>
    <t>乐从店 (2026.3.8)</t>
  </si>
  <si>
    <t>平东店 (2026.3.8)</t>
  </si>
  <si>
    <t>陈村店</t>
  </si>
  <si>
    <t>港口店 (2026.4.27)</t>
  </si>
  <si>
    <t>平沙店 (2026.5.3)</t>
  </si>
  <si>
    <t>新会人民路店</t>
  </si>
  <si>
    <t>北滘店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</si>
</sst>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8"/>
      <color rgb="FF000000"/>
      <name val="微软雅黑"/>
      <charset val="204"/>
    </font>
    <font>
      <b/>
      <sz val="8"/>
      <name val="微软雅黑"/>
      <charset val="134"/>
    </font>
    <font>
      <sz val="8"/>
      <name val="微软雅黑"/>
      <charset val="134"/>
    </font>
    <font>
      <sz val="8"/>
      <color rgb="FF000000"/>
      <name val="微软雅黑"/>
      <charset val="134"/>
    </font>
    <font>
      <b/>
      <sz val="8"/>
      <color rgb="FF000000"/>
      <name val="微软雅黑"/>
      <charset val="134"/>
    </font>
    <font>
      <sz val="8"/>
      <color theme="1"/>
      <name val="微软雅黑"/>
      <charset val="134"/>
    </font>
    <font>
      <b/>
      <sz val="8"/>
      <color theme="1"/>
      <name val="微软雅黑"/>
      <charset val="134"/>
    </font>
    <font>
      <b/>
      <sz val="8"/>
      <color rgb="FF000000"/>
      <name val="微软雅黑"/>
      <charset val="204"/>
    </font>
    <font>
      <sz val="11"/>
      <color indexed="8"/>
      <name val="宋体"/>
      <charset val="134"/>
      <scheme val="minor"/>
    </font>
    <font>
      <b/>
      <sz val="8"/>
      <color rgb="FF000000"/>
      <name val="Arial"/>
      <charset val="134"/>
    </font>
    <font>
      <sz val="11"/>
      <color rgb="FF000000"/>
      <name val="Arial"/>
      <charset val="204"/>
    </font>
    <font>
      <sz val="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SimSun"/>
      <charset val="134"/>
    </font>
    <font>
      <b/>
      <sz val="8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3" borderId="12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13">
      <alignment vertical="center"/>
    </xf>
    <xf numFmtId="0" fontId="20" fillId="0" borderId="13">
      <alignment vertical="center"/>
    </xf>
    <xf numFmtId="0" fontId="21" fillId="0" borderId="14">
      <alignment vertical="center"/>
    </xf>
    <xf numFmtId="0" fontId="21" fillId="0" borderId="0">
      <alignment vertical="center"/>
    </xf>
    <xf numFmtId="0" fontId="22" fillId="4" borderId="15">
      <alignment vertical="center"/>
    </xf>
    <xf numFmtId="0" fontId="23" fillId="5" borderId="16">
      <alignment vertical="center"/>
    </xf>
    <xf numFmtId="0" fontId="24" fillId="5" borderId="15">
      <alignment vertical="center"/>
    </xf>
    <xf numFmtId="0" fontId="25" fillId="6" borderId="17">
      <alignment vertical="center"/>
    </xf>
    <xf numFmtId="0" fontId="26" fillId="0" borderId="18">
      <alignment vertical="center"/>
    </xf>
    <xf numFmtId="0" fontId="27" fillId="0" borderId="19">
      <alignment vertical="center"/>
    </xf>
    <xf numFmtId="0" fontId="28" fillId="7" borderId="0">
      <alignment vertical="center"/>
    </xf>
    <xf numFmtId="0" fontId="29" fillId="8" borderId="0">
      <alignment vertical="center"/>
    </xf>
    <xf numFmtId="0" fontId="30" fillId="9" borderId="0">
      <alignment vertical="center"/>
    </xf>
    <xf numFmtId="0" fontId="31" fillId="10" borderId="0">
      <alignment vertical="center"/>
    </xf>
    <xf numFmtId="0" fontId="32" fillId="11" borderId="0">
      <alignment vertical="center"/>
    </xf>
    <xf numFmtId="0" fontId="32" fillId="12" borderId="0">
      <alignment vertical="center"/>
    </xf>
    <xf numFmtId="0" fontId="31" fillId="13" borderId="0">
      <alignment vertical="center"/>
    </xf>
    <xf numFmtId="0" fontId="31" fillId="14" borderId="0">
      <alignment vertical="center"/>
    </xf>
    <xf numFmtId="0" fontId="32" fillId="15" borderId="0">
      <alignment vertical="center"/>
    </xf>
    <xf numFmtId="0" fontId="32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1" fillId="33" borderId="0">
      <alignment vertical="center"/>
    </xf>
  </cellStyleXfs>
  <cellXfs count="6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top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 wrapText="1"/>
    </xf>
    <xf numFmtId="176" fontId="5" fillId="0" borderId="5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left" vertical="top" wrapText="1"/>
    </xf>
    <xf numFmtId="176" fontId="6" fillId="0" borderId="5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5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left" vertical="top" wrapText="1"/>
    </xf>
    <xf numFmtId="176" fontId="6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11" fillId="0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176" fontId="13" fillId="0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left" vertical="top" wrapText="1"/>
    </xf>
    <xf numFmtId="176" fontId="1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H21" sqref="H21"/>
    </sheetView>
  </sheetViews>
  <sheetFormatPr defaultColWidth="8.89090909090909" defaultRowHeight="14" outlineLevelCol="5"/>
  <cols>
    <col min="1" max="16384" width="8.89090909090909" style="54"/>
  </cols>
  <sheetData>
    <row r="1" s="54" customFormat="1" spans="1:6">
      <c r="A1" s="55" t="s">
        <v>0</v>
      </c>
      <c r="B1" s="56"/>
      <c r="C1" s="56"/>
      <c r="D1" s="56"/>
      <c r="E1" s="56"/>
      <c r="F1" s="56"/>
    </row>
    <row r="2" s="54" customFormat="1" spans="1:6">
      <c r="A2" s="55" t="s">
        <v>1</v>
      </c>
      <c r="B2" s="55" t="s">
        <v>2</v>
      </c>
      <c r="C2" s="55" t="s">
        <v>3</v>
      </c>
      <c r="D2" s="55" t="s">
        <v>4</v>
      </c>
      <c r="E2" s="55" t="s">
        <v>5</v>
      </c>
      <c r="F2" s="55" t="s">
        <v>6</v>
      </c>
    </row>
    <row r="3" s="54" customFormat="1" spans="1:6">
      <c r="A3" s="57" t="s">
        <v>7</v>
      </c>
      <c r="B3" s="57" t="s">
        <v>8</v>
      </c>
      <c r="C3" s="57" t="s">
        <v>9</v>
      </c>
      <c r="D3" s="57" t="s">
        <v>10</v>
      </c>
      <c r="E3" s="57" t="s">
        <v>11</v>
      </c>
      <c r="F3" s="58">
        <v>500</v>
      </c>
    </row>
    <row r="4" s="54" customFormat="1" spans="1:6">
      <c r="A4" s="56"/>
      <c r="B4" s="56"/>
      <c r="C4" s="56"/>
      <c r="D4" s="57" t="s">
        <v>12</v>
      </c>
      <c r="E4" s="57" t="s">
        <v>13</v>
      </c>
      <c r="F4" s="58">
        <v>300</v>
      </c>
    </row>
    <row r="5" s="54" customFormat="1" spans="1:6">
      <c r="A5" s="56"/>
      <c r="B5" s="56"/>
      <c r="C5" s="56"/>
      <c r="D5" s="57" t="s">
        <v>14</v>
      </c>
      <c r="E5" s="57" t="s">
        <v>15</v>
      </c>
      <c r="F5" s="58">
        <v>200</v>
      </c>
    </row>
    <row r="6" s="54" customFormat="1" spans="1:6">
      <c r="A6" s="56"/>
      <c r="B6" s="56"/>
      <c r="C6" s="57" t="s">
        <v>16</v>
      </c>
      <c r="D6" s="57" t="s">
        <v>17</v>
      </c>
      <c r="E6" s="57" t="s">
        <v>11</v>
      </c>
      <c r="F6" s="58">
        <v>500</v>
      </c>
    </row>
    <row r="7" s="54" customFormat="1" spans="1:6">
      <c r="A7" s="56"/>
      <c r="B7" s="56"/>
      <c r="C7" s="56"/>
      <c r="D7" s="57" t="s">
        <v>18</v>
      </c>
      <c r="E7" s="57" t="s">
        <v>13</v>
      </c>
      <c r="F7" s="58">
        <v>300</v>
      </c>
    </row>
    <row r="8" s="54" customFormat="1" spans="1:6">
      <c r="A8" s="56"/>
      <c r="B8" s="56"/>
      <c r="C8" s="56"/>
      <c r="D8" s="57" t="s">
        <v>19</v>
      </c>
      <c r="E8" s="57" t="s">
        <v>15</v>
      </c>
      <c r="F8" s="58">
        <v>200</v>
      </c>
    </row>
    <row r="9" s="54" customFormat="1" spans="1:6">
      <c r="A9" s="56"/>
      <c r="B9" s="56"/>
      <c r="C9" s="57" t="s">
        <v>20</v>
      </c>
      <c r="D9" s="57" t="s">
        <v>21</v>
      </c>
      <c r="E9" s="57" t="s">
        <v>11</v>
      </c>
      <c r="F9" s="58">
        <v>500</v>
      </c>
    </row>
    <row r="10" s="54" customFormat="1" spans="1:6">
      <c r="A10" s="56"/>
      <c r="B10" s="56"/>
      <c r="C10" s="56"/>
      <c r="D10" s="57" t="s">
        <v>22</v>
      </c>
      <c r="E10" s="57" t="s">
        <v>13</v>
      </c>
      <c r="F10" s="58">
        <v>300</v>
      </c>
    </row>
    <row r="11" s="54" customFormat="1" spans="1:6">
      <c r="A11" s="56"/>
      <c r="B11" s="56"/>
      <c r="C11" s="56"/>
      <c r="D11" s="57" t="s">
        <v>23</v>
      </c>
      <c r="E11" s="57" t="s">
        <v>15</v>
      </c>
      <c r="F11" s="58">
        <v>200</v>
      </c>
    </row>
    <row r="12" s="54" customFormat="1" spans="1:6">
      <c r="A12" s="55" t="s">
        <v>24</v>
      </c>
      <c r="B12" s="59"/>
      <c r="C12" s="59"/>
      <c r="D12" s="59"/>
      <c r="E12" s="59"/>
      <c r="F12" s="60">
        <v>3000</v>
      </c>
    </row>
    <row r="15" s="54" customFormat="1" spans="1:6">
      <c r="A15" s="55" t="s">
        <v>25</v>
      </c>
      <c r="B15" s="56"/>
      <c r="C15" s="56"/>
      <c r="D15" s="56"/>
      <c r="E15" s="56"/>
      <c r="F15" s="56"/>
    </row>
    <row r="16" s="54" customFormat="1" spans="1:6">
      <c r="A16" s="55" t="s">
        <v>1</v>
      </c>
      <c r="B16" s="55" t="s">
        <v>2</v>
      </c>
      <c r="C16" s="55" t="s">
        <v>3</v>
      </c>
      <c r="D16" s="55" t="s">
        <v>4</v>
      </c>
      <c r="E16" s="55" t="s">
        <v>5</v>
      </c>
      <c r="F16" s="55" t="s">
        <v>6</v>
      </c>
    </row>
    <row r="17" s="54" customFormat="1" spans="1:6">
      <c r="A17" s="55" t="s">
        <v>26</v>
      </c>
      <c r="B17" s="55" t="s">
        <v>27</v>
      </c>
      <c r="C17" s="55" t="s">
        <v>28</v>
      </c>
      <c r="D17" s="55" t="s">
        <v>29</v>
      </c>
      <c r="E17" s="55" t="s">
        <v>30</v>
      </c>
      <c r="F17" s="60">
        <v>500</v>
      </c>
    </row>
    <row r="18" s="54" customFormat="1" spans="1:6">
      <c r="A18" s="56"/>
      <c r="B18" s="56"/>
      <c r="C18" s="55" t="s">
        <v>31</v>
      </c>
      <c r="D18" s="55" t="s">
        <v>32</v>
      </c>
      <c r="E18" s="55" t="s">
        <v>33</v>
      </c>
      <c r="F18" s="60">
        <v>300</v>
      </c>
    </row>
    <row r="19" s="54" customFormat="1" spans="1:6">
      <c r="A19" s="56"/>
      <c r="B19" s="56"/>
      <c r="C19" s="56"/>
      <c r="D19" s="55" t="s">
        <v>34</v>
      </c>
      <c r="E19" s="55" t="s">
        <v>35</v>
      </c>
      <c r="F19" s="60">
        <v>300</v>
      </c>
    </row>
    <row r="20" s="54" customFormat="1" spans="1:6">
      <c r="A20" s="56"/>
      <c r="B20" s="56"/>
      <c r="C20" s="56"/>
      <c r="D20" s="55" t="s">
        <v>36</v>
      </c>
      <c r="E20" s="55" t="s">
        <v>37</v>
      </c>
      <c r="F20" s="60">
        <v>300</v>
      </c>
    </row>
    <row r="21" s="54" customFormat="1" spans="1:6">
      <c r="A21" s="56"/>
      <c r="B21" s="56"/>
      <c r="C21" s="55" t="s">
        <v>38</v>
      </c>
      <c r="D21" s="55" t="s">
        <v>39</v>
      </c>
      <c r="E21" s="55" t="s">
        <v>40</v>
      </c>
      <c r="F21" s="60">
        <v>200</v>
      </c>
    </row>
    <row r="22" s="54" customFormat="1" spans="1:6">
      <c r="A22" s="56"/>
      <c r="B22" s="56"/>
      <c r="C22" s="56"/>
      <c r="D22" s="55" t="s">
        <v>41</v>
      </c>
      <c r="E22" s="55" t="s">
        <v>42</v>
      </c>
      <c r="F22" s="60">
        <v>200</v>
      </c>
    </row>
    <row r="23" s="54" customFormat="1" spans="1:6">
      <c r="A23" s="56"/>
      <c r="B23" s="56"/>
      <c r="C23" s="56"/>
      <c r="D23" s="55" t="s">
        <v>43</v>
      </c>
      <c r="E23" s="55" t="s">
        <v>44</v>
      </c>
      <c r="F23" s="60">
        <v>200</v>
      </c>
    </row>
    <row r="24" s="54" customFormat="1" spans="1:6">
      <c r="A24" s="56"/>
      <c r="B24" s="56"/>
      <c r="C24" s="56"/>
      <c r="D24" s="55" t="s">
        <v>45</v>
      </c>
      <c r="E24" s="55" t="s">
        <v>46</v>
      </c>
      <c r="F24" s="60">
        <v>200</v>
      </c>
    </row>
    <row r="25" s="54" customFormat="1" spans="1:6">
      <c r="A25" s="56"/>
      <c r="B25" s="56"/>
      <c r="C25" s="56"/>
      <c r="D25" s="55" t="s">
        <v>47</v>
      </c>
      <c r="E25" s="55" t="s">
        <v>48</v>
      </c>
      <c r="F25" s="60">
        <v>200</v>
      </c>
    </row>
    <row r="26" s="54" customFormat="1" spans="1:6">
      <c r="A26" s="56"/>
      <c r="B26" s="56"/>
      <c r="C26" s="56"/>
      <c r="D26" s="55" t="s">
        <v>49</v>
      </c>
      <c r="E26" s="55" t="s">
        <v>50</v>
      </c>
      <c r="F26" s="60">
        <v>200</v>
      </c>
    </row>
    <row r="27" s="54" customFormat="1" spans="1:6">
      <c r="A27" s="55" t="s">
        <v>51</v>
      </c>
      <c r="B27" s="55" t="s">
        <v>52</v>
      </c>
      <c r="C27" s="55" t="s">
        <v>53</v>
      </c>
      <c r="D27" s="59"/>
      <c r="E27" s="55" t="s">
        <v>30</v>
      </c>
      <c r="F27" s="60">
        <v>500</v>
      </c>
    </row>
    <row r="28" s="54" customFormat="1" spans="1:6">
      <c r="A28" s="56"/>
      <c r="B28" s="56"/>
      <c r="C28" s="55" t="s">
        <v>54</v>
      </c>
      <c r="D28" s="59"/>
      <c r="E28" s="55" t="s">
        <v>33</v>
      </c>
      <c r="F28" s="60">
        <v>300</v>
      </c>
    </row>
    <row r="29" s="54" customFormat="1" spans="1:6">
      <c r="A29" s="56"/>
      <c r="B29" s="56"/>
      <c r="C29" s="56"/>
      <c r="D29" s="59"/>
      <c r="E29" s="55" t="s">
        <v>35</v>
      </c>
      <c r="F29" s="60">
        <v>300</v>
      </c>
    </row>
    <row r="30" s="54" customFormat="1" spans="1:6">
      <c r="A30" s="56"/>
      <c r="B30" s="56"/>
      <c r="C30" s="55" t="s">
        <v>55</v>
      </c>
      <c r="D30" s="59"/>
      <c r="E30" s="55" t="s">
        <v>37</v>
      </c>
      <c r="F30" s="60">
        <v>200</v>
      </c>
    </row>
    <row r="31" s="54" customFormat="1" spans="1:6">
      <c r="A31" s="56"/>
      <c r="B31" s="56"/>
      <c r="C31" s="56"/>
      <c r="D31" s="59"/>
      <c r="E31" s="55" t="s">
        <v>40</v>
      </c>
      <c r="F31" s="60">
        <v>200</v>
      </c>
    </row>
    <row r="32" s="54" customFormat="1" spans="1:6">
      <c r="A32" s="55" t="s">
        <v>24</v>
      </c>
      <c r="B32" s="59"/>
      <c r="C32" s="59"/>
      <c r="D32" s="59"/>
      <c r="E32" s="59"/>
      <c r="F32" s="60">
        <v>4100</v>
      </c>
    </row>
  </sheetData>
  <mergeCells count="15">
    <mergeCell ref="A1:F1"/>
    <mergeCell ref="A15:F15"/>
    <mergeCell ref="A3:A11"/>
    <mergeCell ref="A17:A26"/>
    <mergeCell ref="A27:A31"/>
    <mergeCell ref="B3:B11"/>
    <mergeCell ref="B17:B26"/>
    <mergeCell ref="B27:B31"/>
    <mergeCell ref="C3:C5"/>
    <mergeCell ref="C6:C8"/>
    <mergeCell ref="C9:C11"/>
    <mergeCell ref="C18:C20"/>
    <mergeCell ref="C21:C26"/>
    <mergeCell ref="C28:C29"/>
    <mergeCell ref="C30:C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selection activeCell="B24" sqref="B24"/>
    </sheetView>
  </sheetViews>
  <sheetFormatPr defaultColWidth="9" defaultRowHeight="11.5"/>
  <cols>
    <col min="1" max="1" width="9" style="28"/>
    <col min="2" max="2" width="36.6636363636364" style="28" customWidth="1"/>
    <col min="3" max="6" width="9" style="28"/>
    <col min="7" max="7" width="3.10909090909091" style="28" customWidth="1"/>
    <col min="8" max="8" width="9" style="29"/>
    <col min="9" max="9" width="15.1090909090909" style="28" customWidth="1"/>
    <col min="10" max="13" width="9" style="28"/>
    <col min="14" max="14" width="4.21818181818182" style="29" customWidth="1"/>
    <col min="15" max="20" width="9" style="28"/>
    <col min="21" max="21" width="3.44545454545455" style="28" customWidth="1"/>
    <col min="22" max="16384" width="9" style="28"/>
  </cols>
  <sheetData>
    <row r="1" ht="12" spans="1:13">
      <c r="A1" s="41" t="s">
        <v>56</v>
      </c>
      <c r="B1" s="42"/>
      <c r="C1" s="42"/>
      <c r="D1" s="42"/>
      <c r="E1" s="42"/>
      <c r="F1" s="42"/>
      <c r="H1" s="43"/>
      <c r="I1" s="43"/>
      <c r="J1" s="43"/>
      <c r="K1" s="43"/>
      <c r="L1" s="43"/>
      <c r="M1" s="43"/>
    </row>
    <row r="2" ht="12" spans="1:13">
      <c r="A2" s="41" t="s">
        <v>57</v>
      </c>
      <c r="B2" s="41" t="s">
        <v>58</v>
      </c>
      <c r="C2" s="41" t="s">
        <v>59</v>
      </c>
      <c r="D2" s="41" t="s">
        <v>60</v>
      </c>
      <c r="E2" s="41" t="s">
        <v>61</v>
      </c>
      <c r="F2" s="41" t="s">
        <v>62</v>
      </c>
      <c r="H2" s="46"/>
      <c r="I2" s="46"/>
      <c r="J2" s="46"/>
      <c r="K2" s="46"/>
      <c r="L2" s="46"/>
      <c r="M2" s="46"/>
    </row>
    <row r="3" spans="1:13">
      <c r="A3" s="5" t="s">
        <v>63</v>
      </c>
      <c r="B3" s="5" t="s">
        <v>64</v>
      </c>
      <c r="C3" s="5" t="s">
        <v>65</v>
      </c>
      <c r="D3" s="7" t="s">
        <v>66</v>
      </c>
      <c r="E3" s="7" t="s">
        <v>67</v>
      </c>
      <c r="F3" s="8">
        <v>600</v>
      </c>
      <c r="H3" s="47"/>
      <c r="I3" s="48"/>
      <c r="J3" s="49"/>
      <c r="K3" s="50"/>
      <c r="L3" s="50"/>
      <c r="M3" s="51"/>
    </row>
    <row r="4" spans="1:13">
      <c r="A4" s="10"/>
      <c r="B4" s="9"/>
      <c r="C4" s="10"/>
      <c r="D4" s="7" t="s">
        <v>68</v>
      </c>
      <c r="E4" s="7" t="s">
        <v>69</v>
      </c>
      <c r="F4" s="8">
        <v>400</v>
      </c>
      <c r="H4" s="47"/>
      <c r="I4" s="48"/>
      <c r="J4" s="49"/>
      <c r="K4" s="50"/>
      <c r="L4" s="50"/>
      <c r="M4" s="51"/>
    </row>
    <row r="5" spans="1:13">
      <c r="A5" s="10"/>
      <c r="B5" s="9"/>
      <c r="C5" s="10"/>
      <c r="D5" s="7" t="s">
        <v>70</v>
      </c>
      <c r="E5" s="7" t="s">
        <v>71</v>
      </c>
      <c r="F5" s="8">
        <v>300</v>
      </c>
      <c r="H5" s="47"/>
      <c r="I5" s="48"/>
      <c r="J5" s="49"/>
      <c r="K5" s="50"/>
      <c r="L5" s="50"/>
      <c r="M5" s="51"/>
    </row>
    <row r="6" spans="1:13">
      <c r="A6" s="10"/>
      <c r="B6" s="9"/>
      <c r="C6" s="11"/>
      <c r="D6" s="13" t="s">
        <v>72</v>
      </c>
      <c r="E6" s="13" t="s">
        <v>73</v>
      </c>
      <c r="F6" s="8">
        <v>300</v>
      </c>
      <c r="H6" s="47"/>
      <c r="I6" s="48"/>
      <c r="J6" s="49"/>
      <c r="K6" s="50"/>
      <c r="L6" s="50"/>
      <c r="M6" s="51"/>
    </row>
    <row r="7" spans="1:13">
      <c r="A7" s="10"/>
      <c r="B7" s="9"/>
      <c r="C7" s="5" t="s">
        <v>74</v>
      </c>
      <c r="D7" s="7" t="s">
        <v>75</v>
      </c>
      <c r="E7" s="7" t="s">
        <v>67</v>
      </c>
      <c r="F7" s="8">
        <v>600</v>
      </c>
      <c r="H7" s="47"/>
      <c r="I7" s="48"/>
      <c r="J7" s="49"/>
      <c r="K7" s="50"/>
      <c r="L7" s="50"/>
      <c r="M7" s="51"/>
    </row>
    <row r="8" spans="1:13">
      <c r="A8" s="10"/>
      <c r="B8" s="9"/>
      <c r="C8" s="10"/>
      <c r="D8" s="7" t="s">
        <v>76</v>
      </c>
      <c r="E8" s="7" t="s">
        <v>69</v>
      </c>
      <c r="F8" s="8">
        <v>400</v>
      </c>
      <c r="H8" s="47"/>
      <c r="I8" s="48"/>
      <c r="J8" s="49"/>
      <c r="K8" s="50"/>
      <c r="L8" s="50"/>
      <c r="M8" s="51"/>
    </row>
    <row r="9" ht="12" spans="1:13">
      <c r="A9" s="10"/>
      <c r="B9" s="9"/>
      <c r="C9" s="10"/>
      <c r="D9" s="7" t="s">
        <v>77</v>
      </c>
      <c r="E9" s="7" t="s">
        <v>71</v>
      </c>
      <c r="F9" s="8">
        <v>300</v>
      </c>
      <c r="H9" s="46"/>
      <c r="I9" s="52"/>
      <c r="J9" s="52"/>
      <c r="K9" s="52"/>
      <c r="L9" s="52"/>
      <c r="M9" s="53"/>
    </row>
    <row r="10" spans="1:13">
      <c r="A10" s="10"/>
      <c r="B10" s="9"/>
      <c r="C10" s="11"/>
      <c r="D10" s="13" t="s">
        <v>78</v>
      </c>
      <c r="E10" s="13" t="s">
        <v>73</v>
      </c>
      <c r="F10" s="8">
        <v>300</v>
      </c>
      <c r="H10" s="49"/>
      <c r="I10" s="47"/>
      <c r="J10" s="47"/>
      <c r="K10" s="47"/>
      <c r="L10" s="47"/>
      <c r="M10" s="47"/>
    </row>
    <row r="11" spans="1:13">
      <c r="A11" s="10"/>
      <c r="B11" s="9"/>
      <c r="C11" s="5" t="s">
        <v>79</v>
      </c>
      <c r="D11" s="7" t="s">
        <v>80</v>
      </c>
      <c r="E11" s="7" t="s">
        <v>67</v>
      </c>
      <c r="F11" s="8">
        <v>600</v>
      </c>
      <c r="H11" s="49"/>
      <c r="I11" s="47"/>
      <c r="J11" s="47"/>
      <c r="K11" s="47"/>
      <c r="L11" s="47"/>
      <c r="M11" s="47"/>
    </row>
    <row r="12" spans="1:13">
      <c r="A12" s="10"/>
      <c r="B12" s="9"/>
      <c r="C12" s="10"/>
      <c r="D12" s="7" t="s">
        <v>81</v>
      </c>
      <c r="E12" s="7" t="s">
        <v>69</v>
      </c>
      <c r="F12" s="8">
        <v>400</v>
      </c>
      <c r="H12" s="49"/>
      <c r="I12" s="47"/>
      <c r="J12" s="47"/>
      <c r="K12" s="47"/>
      <c r="L12" s="47"/>
      <c r="M12" s="47"/>
    </row>
    <row r="13" spans="1:13">
      <c r="A13" s="10"/>
      <c r="B13" s="9"/>
      <c r="C13" s="10"/>
      <c r="D13" s="7" t="s">
        <v>82</v>
      </c>
      <c r="E13" s="7" t="s">
        <v>71</v>
      </c>
      <c r="F13" s="8">
        <v>300</v>
      </c>
      <c r="H13" s="49"/>
      <c r="I13" s="47"/>
      <c r="J13" s="47"/>
      <c r="K13" s="47"/>
      <c r="L13" s="47"/>
      <c r="M13" s="47"/>
    </row>
    <row r="14" spans="1:13">
      <c r="A14" s="11"/>
      <c r="B14" s="14"/>
      <c r="C14" s="11"/>
      <c r="D14" s="13" t="s">
        <v>83</v>
      </c>
      <c r="E14" s="13" t="s">
        <v>73</v>
      </c>
      <c r="F14" s="8">
        <v>300</v>
      </c>
      <c r="H14" s="49"/>
      <c r="I14" s="47"/>
      <c r="J14" s="47"/>
      <c r="K14" s="47"/>
      <c r="L14" s="47"/>
      <c r="M14" s="47"/>
    </row>
    <row r="15" ht="12" spans="1:13">
      <c r="A15" s="41" t="s">
        <v>84</v>
      </c>
      <c r="B15" s="15"/>
      <c r="C15" s="15"/>
      <c r="D15" s="15"/>
      <c r="E15" s="15"/>
      <c r="F15" s="16">
        <f>SUM(F3:F14)</f>
        <v>4800</v>
      </c>
    </row>
  </sheetData>
  <mergeCells count="9">
    <mergeCell ref="A1:F1"/>
    <mergeCell ref="A3:A14"/>
    <mergeCell ref="B3:B14"/>
    <mergeCell ref="C3:C6"/>
    <mergeCell ref="C7:C10"/>
    <mergeCell ref="C11:C14"/>
    <mergeCell ref="J3:J4"/>
    <mergeCell ref="J5:J6"/>
    <mergeCell ref="J7:J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H1" sqref="H1:M21"/>
    </sheetView>
  </sheetViews>
  <sheetFormatPr defaultColWidth="9" defaultRowHeight="11.5"/>
  <cols>
    <col min="1" max="1" width="9" style="28"/>
    <col min="2" max="2" width="36.6636363636364" style="28" customWidth="1"/>
    <col min="3" max="6" width="9" style="28"/>
    <col min="7" max="7" width="3.10909090909091" style="28" customWidth="1"/>
    <col min="8" max="8" width="9" style="29"/>
    <col min="9" max="9" width="15.1090909090909" style="28" customWidth="1"/>
    <col min="10" max="13" width="9" style="28"/>
    <col min="14" max="14" width="4.21818181818182" style="29" customWidth="1"/>
    <col min="15" max="20" width="9" style="28"/>
    <col min="21" max="21" width="3.44545454545455" style="28" customWidth="1"/>
    <col min="22" max="16384" width="9" style="28"/>
  </cols>
  <sheetData>
    <row r="1" ht="12" spans="1:13">
      <c r="A1" s="44" t="s">
        <v>56</v>
      </c>
      <c r="B1" s="45"/>
      <c r="C1" s="45"/>
      <c r="D1" s="45"/>
      <c r="E1" s="45"/>
      <c r="F1" s="45"/>
      <c r="G1" s="29"/>
      <c r="H1" s="44" t="s">
        <v>56</v>
      </c>
      <c r="I1" s="45"/>
      <c r="J1" s="45"/>
      <c r="K1" s="45"/>
      <c r="L1" s="45"/>
      <c r="M1" s="45"/>
    </row>
    <row r="2" ht="12" spans="1:13">
      <c r="A2" s="44" t="s">
        <v>57</v>
      </c>
      <c r="B2" s="44" t="s">
        <v>58</v>
      </c>
      <c r="C2" s="44" t="s">
        <v>59</v>
      </c>
      <c r="D2" s="44" t="s">
        <v>60</v>
      </c>
      <c r="E2" s="44" t="s">
        <v>61</v>
      </c>
      <c r="F2" s="44" t="s">
        <v>62</v>
      </c>
      <c r="G2" s="29"/>
      <c r="H2" s="44" t="s">
        <v>57</v>
      </c>
      <c r="I2" s="44" t="s">
        <v>58</v>
      </c>
      <c r="J2" s="44" t="s">
        <v>59</v>
      </c>
      <c r="K2" s="44" t="s">
        <v>60</v>
      </c>
      <c r="L2" s="44" t="s">
        <v>61</v>
      </c>
      <c r="M2" s="44" t="s">
        <v>62</v>
      </c>
    </row>
    <row r="3" spans="1:13">
      <c r="A3" s="20" t="s">
        <v>85</v>
      </c>
      <c r="B3" s="19" t="s">
        <v>86</v>
      </c>
      <c r="C3" s="20" t="s">
        <v>65</v>
      </c>
      <c r="D3" s="21" t="s">
        <v>66</v>
      </c>
      <c r="E3" s="21" t="s">
        <v>67</v>
      </c>
      <c r="F3" s="22">
        <v>400</v>
      </c>
      <c r="G3" s="29"/>
      <c r="H3" s="20" t="s">
        <v>87</v>
      </c>
      <c r="I3" s="20" t="s">
        <v>88</v>
      </c>
      <c r="J3" s="20" t="s">
        <v>65</v>
      </c>
      <c r="K3" s="20" t="s">
        <v>72</v>
      </c>
      <c r="L3" s="21" t="s">
        <v>67</v>
      </c>
      <c r="M3" s="20">
        <v>900</v>
      </c>
    </row>
    <row r="4" spans="1:13">
      <c r="A4" s="20"/>
      <c r="B4" s="19"/>
      <c r="C4" s="20"/>
      <c r="D4" s="21" t="s">
        <v>89</v>
      </c>
      <c r="E4" s="21" t="s">
        <v>69</v>
      </c>
      <c r="F4" s="22">
        <v>200</v>
      </c>
      <c r="G4" s="29"/>
      <c r="H4" s="20"/>
      <c r="I4" s="20"/>
      <c r="J4" s="20"/>
      <c r="K4" s="20" t="s">
        <v>90</v>
      </c>
      <c r="L4" s="21" t="s">
        <v>69</v>
      </c>
      <c r="M4" s="20">
        <v>600</v>
      </c>
    </row>
    <row r="5" spans="1:13">
      <c r="A5" s="20"/>
      <c r="B5" s="19"/>
      <c r="C5" s="20" t="s">
        <v>74</v>
      </c>
      <c r="D5" s="21" t="s">
        <v>91</v>
      </c>
      <c r="E5" s="21" t="s">
        <v>67</v>
      </c>
      <c r="F5" s="22">
        <v>400</v>
      </c>
      <c r="G5" s="29"/>
      <c r="H5" s="20"/>
      <c r="I5" s="20"/>
      <c r="J5" s="20"/>
      <c r="K5" s="20" t="s">
        <v>92</v>
      </c>
      <c r="L5" s="21" t="s">
        <v>71</v>
      </c>
      <c r="M5" s="20">
        <v>400</v>
      </c>
    </row>
    <row r="6" spans="1:13">
      <c r="A6" s="20"/>
      <c r="B6" s="19"/>
      <c r="C6" s="20"/>
      <c r="D6" s="21" t="s">
        <v>93</v>
      </c>
      <c r="E6" s="21" t="s">
        <v>69</v>
      </c>
      <c r="F6" s="22">
        <v>200</v>
      </c>
      <c r="G6" s="29"/>
      <c r="H6" s="20"/>
      <c r="I6" s="20"/>
      <c r="J6" s="20"/>
      <c r="K6" s="20" t="s">
        <v>89</v>
      </c>
      <c r="L6" s="21" t="s">
        <v>73</v>
      </c>
      <c r="M6" s="20">
        <v>300</v>
      </c>
    </row>
    <row r="7" spans="1:13">
      <c r="A7" s="20"/>
      <c r="B7" s="19"/>
      <c r="C7" s="20" t="s">
        <v>79</v>
      </c>
      <c r="D7" s="21" t="s">
        <v>94</v>
      </c>
      <c r="E7" s="21" t="s">
        <v>67</v>
      </c>
      <c r="F7" s="22">
        <v>400</v>
      </c>
      <c r="G7" s="29"/>
      <c r="H7" s="20"/>
      <c r="I7" s="20"/>
      <c r="J7" s="20"/>
      <c r="K7" s="20" t="s">
        <v>95</v>
      </c>
      <c r="L7" s="21" t="s">
        <v>96</v>
      </c>
      <c r="M7" s="20">
        <v>200</v>
      </c>
    </row>
    <row r="8" spans="1:13">
      <c r="A8" s="20"/>
      <c r="B8" s="19"/>
      <c r="C8" s="20"/>
      <c r="D8" s="21" t="s">
        <v>97</v>
      </c>
      <c r="E8" s="21" t="s">
        <v>69</v>
      </c>
      <c r="F8" s="22">
        <v>200</v>
      </c>
      <c r="G8" s="29"/>
      <c r="H8" s="20"/>
      <c r="I8" s="20"/>
      <c r="J8" s="20"/>
      <c r="K8" s="20" t="s">
        <v>98</v>
      </c>
      <c r="L8" s="21" t="s">
        <v>99</v>
      </c>
      <c r="M8" s="20">
        <v>200</v>
      </c>
    </row>
    <row r="9" ht="12" spans="1:13">
      <c r="A9" s="44" t="s">
        <v>84</v>
      </c>
      <c r="B9" s="23"/>
      <c r="C9" s="23"/>
      <c r="D9" s="23"/>
      <c r="E9" s="23"/>
      <c r="F9" s="24">
        <f>SUM(F3:F8)</f>
        <v>1800</v>
      </c>
      <c r="G9" s="29"/>
      <c r="H9" s="20"/>
      <c r="I9" s="20"/>
      <c r="J9" s="20" t="s">
        <v>74</v>
      </c>
      <c r="K9" s="20" t="s">
        <v>77</v>
      </c>
      <c r="L9" s="21" t="s">
        <v>67</v>
      </c>
      <c r="M9" s="20">
        <v>900</v>
      </c>
    </row>
    <row r="10" spans="1:13">
      <c r="A10" s="29"/>
      <c r="G10" s="29"/>
      <c r="H10" s="20"/>
      <c r="I10" s="20"/>
      <c r="J10" s="20"/>
      <c r="K10" s="20" t="s">
        <v>91</v>
      </c>
      <c r="L10" s="21" t="s">
        <v>69</v>
      </c>
      <c r="M10" s="20">
        <v>600</v>
      </c>
    </row>
    <row r="11" spans="1:13">
      <c r="A11" s="29"/>
      <c r="G11" s="29"/>
      <c r="H11" s="20"/>
      <c r="I11" s="20"/>
      <c r="J11" s="20"/>
      <c r="K11" s="20" t="s">
        <v>93</v>
      </c>
      <c r="L11" s="21" t="s">
        <v>71</v>
      </c>
      <c r="M11" s="20">
        <v>400</v>
      </c>
    </row>
    <row r="12" spans="1:13">
      <c r="A12" s="29"/>
      <c r="G12" s="29"/>
      <c r="H12" s="20"/>
      <c r="I12" s="20"/>
      <c r="J12" s="20"/>
      <c r="K12" s="20" t="s">
        <v>100</v>
      </c>
      <c r="L12" s="21" t="s">
        <v>73</v>
      </c>
      <c r="M12" s="20">
        <v>300</v>
      </c>
    </row>
    <row r="13" spans="1:13">
      <c r="A13" s="29"/>
      <c r="G13" s="29"/>
      <c r="H13" s="20"/>
      <c r="I13" s="20"/>
      <c r="J13" s="20"/>
      <c r="K13" s="20" t="s">
        <v>101</v>
      </c>
      <c r="L13" s="21" t="s">
        <v>96</v>
      </c>
      <c r="M13" s="20">
        <v>200</v>
      </c>
    </row>
    <row r="14" spans="1:13">
      <c r="A14" s="29"/>
      <c r="G14" s="29"/>
      <c r="H14" s="20"/>
      <c r="I14" s="20"/>
      <c r="J14" s="20"/>
      <c r="K14" s="20" t="s">
        <v>102</v>
      </c>
      <c r="L14" s="21" t="s">
        <v>99</v>
      </c>
      <c r="M14" s="20">
        <v>200</v>
      </c>
    </row>
    <row r="15" spans="1:13">
      <c r="A15" s="29"/>
      <c r="G15" s="29"/>
      <c r="H15" s="20"/>
      <c r="I15" s="20"/>
      <c r="J15" s="20" t="s">
        <v>79</v>
      </c>
      <c r="K15" s="20" t="s">
        <v>103</v>
      </c>
      <c r="L15" s="21" t="s">
        <v>67</v>
      </c>
      <c r="M15" s="20">
        <v>900</v>
      </c>
    </row>
    <row r="16" spans="1:13">
      <c r="A16" s="29"/>
      <c r="G16" s="29"/>
      <c r="H16" s="20"/>
      <c r="I16" s="20"/>
      <c r="J16" s="20"/>
      <c r="K16" s="20" t="s">
        <v>81</v>
      </c>
      <c r="L16" s="21" t="s">
        <v>69</v>
      </c>
      <c r="M16" s="20">
        <v>600</v>
      </c>
    </row>
    <row r="17" spans="1:13">
      <c r="A17" s="29"/>
      <c r="G17" s="29"/>
      <c r="H17" s="20"/>
      <c r="I17" s="20"/>
      <c r="J17" s="20"/>
      <c r="K17" s="20" t="s">
        <v>104</v>
      </c>
      <c r="L17" s="21" t="s">
        <v>71</v>
      </c>
      <c r="M17" s="20">
        <v>400</v>
      </c>
    </row>
    <row r="18" spans="1:13">
      <c r="A18" s="29"/>
      <c r="G18" s="29"/>
      <c r="H18" s="20"/>
      <c r="I18" s="20"/>
      <c r="J18" s="20"/>
      <c r="K18" s="20" t="s">
        <v>105</v>
      </c>
      <c r="L18" s="21" t="s">
        <v>73</v>
      </c>
      <c r="M18" s="20">
        <v>300</v>
      </c>
    </row>
    <row r="19" spans="1:13">
      <c r="A19" s="29"/>
      <c r="G19" s="29"/>
      <c r="H19" s="20"/>
      <c r="I19" s="20"/>
      <c r="J19" s="20"/>
      <c r="K19" s="20" t="s">
        <v>106</v>
      </c>
      <c r="L19" s="21" t="s">
        <v>96</v>
      </c>
      <c r="M19" s="20">
        <v>200</v>
      </c>
    </row>
    <row r="20" spans="1:13">
      <c r="A20" s="29"/>
      <c r="G20" s="29"/>
      <c r="H20" s="20"/>
      <c r="I20" s="20"/>
      <c r="J20" s="20"/>
      <c r="K20" s="20" t="s">
        <v>97</v>
      </c>
      <c r="L20" s="21" t="s">
        <v>99</v>
      </c>
      <c r="M20" s="20">
        <v>200</v>
      </c>
    </row>
    <row r="21" ht="12" spans="1:13">
      <c r="A21" s="29"/>
      <c r="G21" s="29"/>
      <c r="H21" s="44" t="s">
        <v>84</v>
      </c>
      <c r="I21" s="20"/>
      <c r="J21" s="20"/>
      <c r="K21" s="20"/>
      <c r="L21" s="20"/>
      <c r="M21" s="20">
        <f>SUM(M3:M20)</f>
        <v>7800</v>
      </c>
    </row>
  </sheetData>
  <mergeCells count="12">
    <mergeCell ref="A1:F1"/>
    <mergeCell ref="H1:M1"/>
    <mergeCell ref="A3:A8"/>
    <mergeCell ref="B3:B8"/>
    <mergeCell ref="C3:C4"/>
    <mergeCell ref="C5:C6"/>
    <mergeCell ref="C7:C8"/>
    <mergeCell ref="H3:H20"/>
    <mergeCell ref="I3:I20"/>
    <mergeCell ref="J3:J8"/>
    <mergeCell ref="J9:J14"/>
    <mergeCell ref="J15:J20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topLeftCell="D1" workbookViewId="0">
      <selection activeCell="C34" sqref="C34"/>
    </sheetView>
  </sheetViews>
  <sheetFormatPr defaultColWidth="9" defaultRowHeight="11.5"/>
  <cols>
    <col min="1" max="1" width="9" style="28"/>
    <col min="2" max="2" width="36.6636363636364" style="28" customWidth="1"/>
    <col min="3" max="6" width="9" style="28"/>
    <col min="7" max="7" width="3.10909090909091" style="28" customWidth="1"/>
    <col min="8" max="8" width="9" style="29"/>
    <col min="9" max="9" width="15.1090909090909" style="28" customWidth="1"/>
    <col min="10" max="13" width="9" style="28"/>
    <col min="14" max="14" width="4.21818181818182" style="29" customWidth="1"/>
    <col min="15" max="20" width="9" style="28"/>
    <col min="21" max="21" width="3.44545454545455" style="28" customWidth="1"/>
    <col min="22" max="16384" width="9" style="28"/>
  </cols>
  <sheetData>
    <row r="1" ht="12" spans="1:20">
      <c r="A1" s="41" t="s">
        <v>56</v>
      </c>
      <c r="B1" s="42"/>
      <c r="C1" s="42"/>
      <c r="D1" s="42"/>
      <c r="E1" s="42"/>
      <c r="F1" s="42"/>
      <c r="H1" s="43"/>
      <c r="I1" s="43"/>
      <c r="J1" s="43"/>
      <c r="K1" s="43"/>
      <c r="L1" s="43"/>
      <c r="M1" s="43"/>
    </row>
    <row r="2" ht="12" spans="1:20">
      <c r="A2" s="44" t="s">
        <v>56</v>
      </c>
      <c r="B2" s="45"/>
      <c r="C2" s="45"/>
      <c r="D2" s="45"/>
      <c r="E2" s="45"/>
      <c r="F2" s="45"/>
      <c r="H2" s="41" t="s">
        <v>56</v>
      </c>
      <c r="I2" s="42"/>
      <c r="J2" s="42"/>
      <c r="K2" s="42"/>
      <c r="L2" s="42"/>
      <c r="M2" s="42"/>
      <c r="O2" s="41" t="s">
        <v>56</v>
      </c>
      <c r="P2" s="42"/>
      <c r="Q2" s="42"/>
      <c r="R2" s="42"/>
      <c r="S2" s="42"/>
      <c r="T2" s="42"/>
    </row>
    <row r="3" ht="12" spans="1:20">
      <c r="A3" s="44" t="s">
        <v>57</v>
      </c>
      <c r="B3" s="44" t="s">
        <v>58</v>
      </c>
      <c r="C3" s="44" t="s">
        <v>59</v>
      </c>
      <c r="D3" s="44" t="s">
        <v>60</v>
      </c>
      <c r="E3" s="44" t="s">
        <v>61</v>
      </c>
      <c r="F3" s="44" t="s">
        <v>62</v>
      </c>
      <c r="H3" s="41" t="s">
        <v>57</v>
      </c>
      <c r="I3" s="41" t="s">
        <v>58</v>
      </c>
      <c r="J3" s="41" t="s">
        <v>59</v>
      </c>
      <c r="K3" s="41" t="s">
        <v>60</v>
      </c>
      <c r="L3" s="41" t="s">
        <v>61</v>
      </c>
      <c r="M3" s="41" t="s">
        <v>62</v>
      </c>
      <c r="O3" s="41" t="s">
        <v>57</v>
      </c>
      <c r="P3" s="41" t="s">
        <v>58</v>
      </c>
      <c r="Q3" s="41" t="s">
        <v>59</v>
      </c>
      <c r="R3" s="41" t="s">
        <v>60</v>
      </c>
      <c r="S3" s="41" t="s">
        <v>61</v>
      </c>
      <c r="T3" s="41" t="s">
        <v>62</v>
      </c>
    </row>
    <row r="4" spans="1:20">
      <c r="A4" s="20" t="s">
        <v>107</v>
      </c>
      <c r="B4" s="19" t="s">
        <v>108</v>
      </c>
      <c r="C4" s="20" t="s">
        <v>65</v>
      </c>
      <c r="D4" s="21" t="s">
        <v>66</v>
      </c>
      <c r="E4" s="21" t="s">
        <v>67</v>
      </c>
      <c r="F4" s="22">
        <v>400</v>
      </c>
      <c r="H4" s="5" t="s">
        <v>109</v>
      </c>
      <c r="I4" s="5" t="s">
        <v>110</v>
      </c>
      <c r="J4" s="5" t="s">
        <v>65</v>
      </c>
      <c r="K4" s="7" t="s">
        <v>92</v>
      </c>
      <c r="L4" s="7" t="s">
        <v>67</v>
      </c>
      <c r="M4" s="8">
        <v>600</v>
      </c>
      <c r="O4" s="5" t="s">
        <v>111</v>
      </c>
      <c r="P4" s="5" t="s">
        <v>112</v>
      </c>
      <c r="Q4" s="5" t="s">
        <v>65</v>
      </c>
      <c r="R4" s="7" t="s">
        <v>113</v>
      </c>
      <c r="S4" s="7" t="s">
        <v>67</v>
      </c>
      <c r="T4" s="8">
        <v>600</v>
      </c>
    </row>
    <row r="5" spans="1:20">
      <c r="A5" s="20"/>
      <c r="B5" s="19"/>
      <c r="C5" s="20"/>
      <c r="D5" s="21" t="s">
        <v>113</v>
      </c>
      <c r="E5" s="21" t="s">
        <v>69</v>
      </c>
      <c r="F5" s="22">
        <v>200</v>
      </c>
      <c r="H5" s="10"/>
      <c r="I5" s="9"/>
      <c r="J5" s="10"/>
      <c r="K5" s="7" t="s">
        <v>70</v>
      </c>
      <c r="L5" s="7" t="s">
        <v>69</v>
      </c>
      <c r="M5" s="8">
        <v>400</v>
      </c>
      <c r="O5" s="10"/>
      <c r="P5" s="9"/>
      <c r="Q5" s="10"/>
      <c r="R5" s="7" t="s">
        <v>114</v>
      </c>
      <c r="S5" s="7" t="s">
        <v>69</v>
      </c>
      <c r="T5" s="8">
        <v>400</v>
      </c>
    </row>
    <row r="6" spans="1:20">
      <c r="A6" s="20"/>
      <c r="B6" s="19"/>
      <c r="C6" s="20" t="s">
        <v>74</v>
      </c>
      <c r="D6" s="21" t="s">
        <v>100</v>
      </c>
      <c r="E6" s="21" t="s">
        <v>67</v>
      </c>
      <c r="F6" s="22">
        <v>400</v>
      </c>
      <c r="H6" s="10"/>
      <c r="I6" s="9"/>
      <c r="J6" s="10"/>
      <c r="K6" s="7" t="s">
        <v>95</v>
      </c>
      <c r="L6" s="7" t="s">
        <v>71</v>
      </c>
      <c r="M6" s="8">
        <v>300</v>
      </c>
      <c r="O6" s="10"/>
      <c r="P6" s="9"/>
      <c r="Q6" s="10"/>
      <c r="R6" s="7" t="s">
        <v>89</v>
      </c>
      <c r="S6" s="7" t="s">
        <v>71</v>
      </c>
      <c r="T6" s="8">
        <v>300</v>
      </c>
    </row>
    <row r="7" spans="1:20">
      <c r="A7" s="20"/>
      <c r="B7" s="19"/>
      <c r="C7" s="20"/>
      <c r="D7" s="21" t="s">
        <v>77</v>
      </c>
      <c r="E7" s="21" t="s">
        <v>69</v>
      </c>
      <c r="F7" s="22">
        <v>200</v>
      </c>
      <c r="H7" s="10"/>
      <c r="I7" s="9"/>
      <c r="J7" s="11"/>
      <c r="K7" s="13" t="s">
        <v>115</v>
      </c>
      <c r="L7" s="13" t="s">
        <v>73</v>
      </c>
      <c r="M7" s="8">
        <v>200</v>
      </c>
      <c r="O7" s="10"/>
      <c r="P7" s="9"/>
      <c r="Q7" s="11"/>
      <c r="R7" s="13" t="s">
        <v>116</v>
      </c>
      <c r="S7" s="13" t="s">
        <v>73</v>
      </c>
      <c r="T7" s="8">
        <v>200</v>
      </c>
    </row>
    <row r="8" spans="1:20">
      <c r="A8" s="20"/>
      <c r="B8" s="19"/>
      <c r="C8" s="20" t="s">
        <v>79</v>
      </c>
      <c r="D8" s="21" t="s">
        <v>105</v>
      </c>
      <c r="E8" s="21" t="s">
        <v>67</v>
      </c>
      <c r="F8" s="22">
        <v>400</v>
      </c>
      <c r="H8" s="10"/>
      <c r="I8" s="9"/>
      <c r="J8" s="5" t="s">
        <v>74</v>
      </c>
      <c r="K8" s="7" t="s">
        <v>100</v>
      </c>
      <c r="L8" s="7" t="s">
        <v>67</v>
      </c>
      <c r="M8" s="8">
        <v>600</v>
      </c>
      <c r="O8" s="10"/>
      <c r="P8" s="9"/>
      <c r="Q8" s="5" t="s">
        <v>74</v>
      </c>
      <c r="R8" s="7" t="s">
        <v>100</v>
      </c>
      <c r="S8" s="7" t="s">
        <v>67</v>
      </c>
      <c r="T8" s="8">
        <v>600</v>
      </c>
    </row>
    <row r="9" spans="1:20">
      <c r="A9" s="20"/>
      <c r="B9" s="19"/>
      <c r="C9" s="20"/>
      <c r="D9" s="21" t="s">
        <v>97</v>
      </c>
      <c r="E9" s="21" t="s">
        <v>69</v>
      </c>
      <c r="F9" s="22">
        <v>200</v>
      </c>
      <c r="H9" s="10"/>
      <c r="I9" s="9"/>
      <c r="J9" s="10"/>
      <c r="K9" s="7" t="s">
        <v>75</v>
      </c>
      <c r="L9" s="7" t="s">
        <v>69</v>
      </c>
      <c r="M9" s="8">
        <v>400</v>
      </c>
      <c r="O9" s="10"/>
      <c r="P9" s="9"/>
      <c r="Q9" s="10"/>
      <c r="R9" s="7" t="s">
        <v>102</v>
      </c>
      <c r="S9" s="7" t="s">
        <v>69</v>
      </c>
      <c r="T9" s="8">
        <v>400</v>
      </c>
    </row>
    <row r="10" ht="12" spans="1:20">
      <c r="A10" s="44" t="s">
        <v>84</v>
      </c>
      <c r="B10" s="23"/>
      <c r="C10" s="23"/>
      <c r="D10" s="23"/>
      <c r="E10" s="23"/>
      <c r="F10" s="24">
        <f>SUM(F4:F9)</f>
        <v>1800</v>
      </c>
      <c r="H10" s="10"/>
      <c r="I10" s="9"/>
      <c r="J10" s="10"/>
      <c r="K10" s="7" t="s">
        <v>76</v>
      </c>
      <c r="L10" s="7" t="s">
        <v>71</v>
      </c>
      <c r="M10" s="8">
        <v>300</v>
      </c>
      <c r="O10" s="10"/>
      <c r="P10" s="9"/>
      <c r="Q10" s="10"/>
      <c r="R10" s="7" t="s">
        <v>77</v>
      </c>
      <c r="S10" s="7" t="s">
        <v>71</v>
      </c>
      <c r="T10" s="8">
        <v>300</v>
      </c>
    </row>
    <row r="11" spans="1:20">
      <c r="H11" s="10"/>
      <c r="I11" s="9"/>
      <c r="J11" s="11"/>
      <c r="K11" s="13" t="s">
        <v>102</v>
      </c>
      <c r="L11" s="13" t="s">
        <v>73</v>
      </c>
      <c r="M11" s="8">
        <v>200</v>
      </c>
      <c r="O11" s="10"/>
      <c r="P11" s="9"/>
      <c r="Q11" s="11"/>
      <c r="R11" s="13" t="s">
        <v>117</v>
      </c>
      <c r="S11" s="13" t="s">
        <v>73</v>
      </c>
      <c r="T11" s="8">
        <v>200</v>
      </c>
    </row>
    <row r="12" spans="1:20">
      <c r="H12" s="10"/>
      <c r="I12" s="9"/>
      <c r="J12" s="5" t="s">
        <v>79</v>
      </c>
      <c r="K12" s="7" t="s">
        <v>81</v>
      </c>
      <c r="L12" s="7" t="s">
        <v>67</v>
      </c>
      <c r="M12" s="8">
        <v>600</v>
      </c>
      <c r="O12" s="10"/>
      <c r="P12" s="9"/>
      <c r="Q12" s="5" t="s">
        <v>79</v>
      </c>
      <c r="R12" s="7" t="s">
        <v>105</v>
      </c>
      <c r="S12" s="7" t="s">
        <v>67</v>
      </c>
      <c r="T12" s="8">
        <v>600</v>
      </c>
    </row>
    <row r="13" spans="1:20">
      <c r="H13" s="10"/>
      <c r="I13" s="9"/>
      <c r="J13" s="10"/>
      <c r="K13" s="7" t="s">
        <v>104</v>
      </c>
      <c r="L13" s="7" t="s">
        <v>69</v>
      </c>
      <c r="M13" s="8">
        <v>400</v>
      </c>
      <c r="O13" s="10"/>
      <c r="P13" s="9"/>
      <c r="Q13" s="10"/>
      <c r="R13" s="7" t="s">
        <v>103</v>
      </c>
      <c r="S13" s="7" t="s">
        <v>69</v>
      </c>
      <c r="T13" s="8">
        <v>400</v>
      </c>
    </row>
    <row r="14" spans="1:20">
      <c r="H14" s="10"/>
      <c r="I14" s="9"/>
      <c r="J14" s="10"/>
      <c r="K14" s="7" t="s">
        <v>103</v>
      </c>
      <c r="L14" s="7" t="s">
        <v>71</v>
      </c>
      <c r="M14" s="8">
        <v>300</v>
      </c>
      <c r="O14" s="10"/>
      <c r="P14" s="9"/>
      <c r="Q14" s="10"/>
      <c r="R14" s="7" t="s">
        <v>80</v>
      </c>
      <c r="S14" s="7" t="s">
        <v>71</v>
      </c>
      <c r="T14" s="8">
        <v>300</v>
      </c>
    </row>
    <row r="15" spans="1:20">
      <c r="H15" s="11"/>
      <c r="I15" s="14"/>
      <c r="J15" s="11"/>
      <c r="K15" s="13" t="s">
        <v>105</v>
      </c>
      <c r="L15" s="13" t="s">
        <v>73</v>
      </c>
      <c r="M15" s="8">
        <v>200</v>
      </c>
      <c r="O15" s="11"/>
      <c r="P15" s="14"/>
      <c r="Q15" s="11"/>
      <c r="R15" s="13" t="s">
        <v>81</v>
      </c>
      <c r="S15" s="13" t="s">
        <v>73</v>
      </c>
      <c r="T15" s="8">
        <v>200</v>
      </c>
    </row>
    <row r="16" ht="12" spans="1:20">
      <c r="H16" s="41" t="s">
        <v>84</v>
      </c>
      <c r="I16" s="15"/>
      <c r="J16" s="15"/>
      <c r="K16" s="15"/>
      <c r="L16" s="15"/>
      <c r="M16" s="16">
        <f>SUM(M4:M15)</f>
        <v>4500</v>
      </c>
      <c r="O16" s="41" t="s">
        <v>84</v>
      </c>
      <c r="P16" s="15"/>
      <c r="Q16" s="15"/>
      <c r="R16" s="15"/>
      <c r="S16" s="15"/>
      <c r="T16" s="16">
        <f>SUM(T4:T15)</f>
        <v>4500</v>
      </c>
    </row>
  </sheetData>
  <mergeCells count="19">
    <mergeCell ref="A1:F1"/>
    <mergeCell ref="A2:F2"/>
    <mergeCell ref="H2:M2"/>
    <mergeCell ref="O2:T2"/>
    <mergeCell ref="A4:A9"/>
    <mergeCell ref="B4:B9"/>
    <mergeCell ref="C4:C5"/>
    <mergeCell ref="C6:C7"/>
    <mergeCell ref="C8:C9"/>
    <mergeCell ref="H4:H15"/>
    <mergeCell ref="I4:I15"/>
    <mergeCell ref="J4:J7"/>
    <mergeCell ref="J8:J11"/>
    <mergeCell ref="J12:J15"/>
    <mergeCell ref="O4:O15"/>
    <mergeCell ref="P4:P15"/>
    <mergeCell ref="Q4:Q7"/>
    <mergeCell ref="Q8:Q11"/>
    <mergeCell ref="Q12:Q15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workbookViewId="0">
      <selection activeCell="H54" sqref="H54"/>
    </sheetView>
  </sheetViews>
  <sheetFormatPr defaultColWidth="9" defaultRowHeight="11.5"/>
  <cols>
    <col min="1" max="1" width="36.6636363636364" style="28" customWidth="1"/>
    <col min="2" max="5" width="9" style="28"/>
    <col min="6" max="6" width="3.10909090909091" style="28" customWidth="1"/>
    <col min="7" max="7" width="9" style="29"/>
    <col min="8" max="8" width="15.1090909090909" style="28" customWidth="1"/>
    <col min="9" max="12" width="9" style="28"/>
    <col min="13" max="13" width="4.21818181818182" style="29" customWidth="1"/>
    <col min="14" max="19" width="9" style="28"/>
    <col min="20" max="20" width="3.44545454545455" style="28" customWidth="1"/>
    <col min="21" max="16384" width="9" style="28"/>
  </cols>
  <sheetData>
    <row r="1" ht="12" spans="1:10">
      <c r="A1" s="17"/>
      <c r="B1" s="17"/>
      <c r="C1" s="17"/>
      <c r="D1" s="17"/>
      <c r="E1" s="17"/>
      <c r="H1" s="30" t="s">
        <v>118</v>
      </c>
      <c r="I1" s="30" t="s">
        <v>119</v>
      </c>
      <c r="J1" s="30" t="s">
        <v>120</v>
      </c>
    </row>
    <row r="2" ht="12" spans="1:10">
      <c r="A2" s="18" t="s">
        <v>58</v>
      </c>
      <c r="B2" s="18" t="s">
        <v>59</v>
      </c>
      <c r="C2" s="18" t="s">
        <v>60</v>
      </c>
      <c r="D2" s="18" t="s">
        <v>61</v>
      </c>
      <c r="E2" s="18" t="s">
        <v>62</v>
      </c>
      <c r="H2" s="20">
        <f>E9+E20+E30+E52</f>
        <v>13200</v>
      </c>
      <c r="I2" s="20">
        <v>3200</v>
      </c>
      <c r="J2" s="20">
        <f>SUM(H2:I2)</f>
        <v>16400</v>
      </c>
    </row>
    <row r="3" spans="1:10">
      <c r="A3" s="19" t="s">
        <v>121</v>
      </c>
      <c r="B3" s="20" t="s">
        <v>65</v>
      </c>
      <c r="C3" s="21" t="s">
        <v>89</v>
      </c>
      <c r="D3" s="21" t="s">
        <v>67</v>
      </c>
      <c r="E3" s="22">
        <v>400</v>
      </c>
    </row>
    <row r="4" spans="1:10">
      <c r="A4" s="19"/>
      <c r="B4" s="20"/>
      <c r="C4" s="21" t="s">
        <v>95</v>
      </c>
      <c r="D4" s="21" t="s">
        <v>69</v>
      </c>
      <c r="E4" s="22">
        <v>200</v>
      </c>
    </row>
    <row r="5" spans="1:10">
      <c r="A5" s="19"/>
      <c r="B5" s="20" t="s">
        <v>74</v>
      </c>
      <c r="C5" s="21" t="s">
        <v>100</v>
      </c>
      <c r="D5" s="21" t="s">
        <v>67</v>
      </c>
      <c r="E5" s="22">
        <v>400</v>
      </c>
    </row>
    <row r="6" spans="1:10">
      <c r="A6" s="19"/>
      <c r="B6" s="20"/>
      <c r="C6" s="21" t="s">
        <v>122</v>
      </c>
      <c r="D6" s="21" t="s">
        <v>69</v>
      </c>
      <c r="E6" s="22">
        <v>200</v>
      </c>
    </row>
    <row r="7" spans="1:10">
      <c r="A7" s="19"/>
      <c r="B7" s="20" t="s">
        <v>79</v>
      </c>
      <c r="C7" s="21" t="s">
        <v>123</v>
      </c>
      <c r="D7" s="21" t="s">
        <v>67</v>
      </c>
      <c r="E7" s="22">
        <v>400</v>
      </c>
    </row>
    <row r="8" spans="1:10">
      <c r="A8" s="19"/>
      <c r="B8" s="20"/>
      <c r="C8" s="21" t="s">
        <v>105</v>
      </c>
      <c r="D8" s="21" t="s">
        <v>69</v>
      </c>
      <c r="E8" s="22">
        <v>200</v>
      </c>
    </row>
    <row r="9" ht="12" spans="1:10">
      <c r="A9" s="23"/>
      <c r="B9" s="23"/>
      <c r="C9" s="23"/>
      <c r="D9" s="23"/>
      <c r="E9" s="24">
        <f>SUM(E3:E8)</f>
        <v>1800</v>
      </c>
    </row>
    <row r="12" spans="1:10">
      <c r="A12" s="17"/>
      <c r="B12" s="17"/>
      <c r="C12" s="17"/>
      <c r="D12" s="17"/>
      <c r="E12" s="17"/>
    </row>
    <row r="13" ht="12" spans="1:10">
      <c r="A13" s="18" t="s">
        <v>58</v>
      </c>
      <c r="B13" s="18" t="s">
        <v>59</v>
      </c>
      <c r="C13" s="18" t="s">
        <v>60</v>
      </c>
      <c r="D13" s="18" t="s">
        <v>61</v>
      </c>
      <c r="E13" s="18" t="s">
        <v>62</v>
      </c>
    </row>
    <row r="14" spans="1:10">
      <c r="A14" s="19" t="s">
        <v>124</v>
      </c>
      <c r="B14" s="20" t="s">
        <v>65</v>
      </c>
      <c r="C14" s="21" t="s">
        <v>125</v>
      </c>
      <c r="D14" s="21" t="s">
        <v>67</v>
      </c>
      <c r="E14" s="22">
        <v>400</v>
      </c>
    </row>
    <row r="15" spans="1:10">
      <c r="A15" s="19"/>
      <c r="B15" s="20"/>
      <c r="C15" s="21" t="s">
        <v>66</v>
      </c>
      <c r="D15" s="21" t="s">
        <v>69</v>
      </c>
      <c r="E15" s="22">
        <v>200</v>
      </c>
    </row>
    <row r="16" spans="1:10">
      <c r="A16" s="19"/>
      <c r="B16" s="20" t="s">
        <v>74</v>
      </c>
      <c r="C16" s="21" t="s">
        <v>100</v>
      </c>
      <c r="D16" s="21" t="s">
        <v>67</v>
      </c>
      <c r="E16" s="22">
        <v>400</v>
      </c>
    </row>
    <row r="17" spans="1:5">
      <c r="A17" s="19"/>
      <c r="B17" s="20"/>
      <c r="C17" s="21" t="s">
        <v>76</v>
      </c>
      <c r="D17" s="21" t="s">
        <v>69</v>
      </c>
      <c r="E17" s="22">
        <v>200</v>
      </c>
    </row>
    <row r="18" spans="1:5">
      <c r="A18" s="19"/>
      <c r="B18" s="20" t="s">
        <v>79</v>
      </c>
      <c r="C18" s="21" t="s">
        <v>126</v>
      </c>
      <c r="D18" s="21" t="s">
        <v>67</v>
      </c>
      <c r="E18" s="22">
        <v>400</v>
      </c>
    </row>
    <row r="19" spans="1:5">
      <c r="A19" s="19"/>
      <c r="B19" s="20"/>
      <c r="C19" s="21" t="s">
        <v>103</v>
      </c>
      <c r="D19" s="21" t="s">
        <v>69</v>
      </c>
      <c r="E19" s="22">
        <v>200</v>
      </c>
    </row>
    <row r="20" ht="12" spans="1:5">
      <c r="A20" s="23"/>
      <c r="B20" s="23"/>
      <c r="C20" s="23"/>
      <c r="D20" s="23"/>
      <c r="E20" s="24">
        <f>SUM(E14:E19)</f>
        <v>1800</v>
      </c>
    </row>
    <row r="22" spans="1:5">
      <c r="A22" s="17"/>
      <c r="B22" s="17"/>
      <c r="C22" s="17"/>
      <c r="D22" s="17"/>
      <c r="E22" s="17"/>
    </row>
    <row r="23" ht="12" spans="1:5">
      <c r="A23" s="18" t="s">
        <v>58</v>
      </c>
      <c r="B23" s="18" t="s">
        <v>59</v>
      </c>
      <c r="C23" s="18" t="s">
        <v>60</v>
      </c>
      <c r="D23" s="18" t="s">
        <v>61</v>
      </c>
      <c r="E23" s="18" t="s">
        <v>62</v>
      </c>
    </row>
    <row r="24" spans="1:5">
      <c r="A24" s="19" t="s">
        <v>124</v>
      </c>
      <c r="B24" s="20" t="s">
        <v>65</v>
      </c>
      <c r="C24" s="21" t="s">
        <v>125</v>
      </c>
      <c r="D24" s="21" t="s">
        <v>67</v>
      </c>
      <c r="E24" s="22">
        <v>400</v>
      </c>
    </row>
    <row r="25" spans="1:5">
      <c r="A25" s="19"/>
      <c r="B25" s="20"/>
      <c r="C25" s="21" t="s">
        <v>127</v>
      </c>
      <c r="D25" s="21" t="s">
        <v>69</v>
      </c>
      <c r="E25" s="22">
        <v>200</v>
      </c>
    </row>
    <row r="26" spans="1:5">
      <c r="A26" s="19"/>
      <c r="B26" s="20" t="s">
        <v>74</v>
      </c>
      <c r="C26" s="21" t="s">
        <v>100</v>
      </c>
      <c r="D26" s="21" t="s">
        <v>67</v>
      </c>
      <c r="E26" s="22">
        <v>400</v>
      </c>
    </row>
    <row r="27" spans="1:5">
      <c r="A27" s="19"/>
      <c r="B27" s="20"/>
      <c r="C27" s="21" t="s">
        <v>122</v>
      </c>
      <c r="D27" s="21" t="s">
        <v>69</v>
      </c>
      <c r="E27" s="22">
        <v>200</v>
      </c>
    </row>
    <row r="28" spans="1:5">
      <c r="A28" s="19"/>
      <c r="B28" s="20" t="s">
        <v>79</v>
      </c>
      <c r="C28" s="21" t="s">
        <v>123</v>
      </c>
      <c r="D28" s="21" t="s">
        <v>67</v>
      </c>
      <c r="E28" s="22">
        <v>400</v>
      </c>
    </row>
    <row r="29" spans="1:5">
      <c r="A29" s="19"/>
      <c r="B29" s="20"/>
      <c r="C29" s="21" t="s">
        <v>126</v>
      </c>
      <c r="D29" s="21" t="s">
        <v>69</v>
      </c>
      <c r="E29" s="22">
        <v>200</v>
      </c>
    </row>
    <row r="30" ht="12" spans="1:5">
      <c r="A30" s="23"/>
      <c r="B30" s="23"/>
      <c r="C30" s="23"/>
      <c r="D30" s="23"/>
      <c r="E30" s="24">
        <f>SUM(E24:E29)</f>
        <v>1800</v>
      </c>
    </row>
    <row r="32" spans="1:5">
      <c r="A32" s="17"/>
      <c r="B32" s="17"/>
      <c r="C32" s="17"/>
      <c r="D32" s="17"/>
      <c r="E32" s="17"/>
    </row>
    <row r="33" ht="12" spans="1:5">
      <c r="A33" s="18" t="s">
        <v>58</v>
      </c>
      <c r="B33" s="18" t="s">
        <v>59</v>
      </c>
      <c r="C33" s="18" t="s">
        <v>60</v>
      </c>
      <c r="D33" s="18" t="s">
        <v>61</v>
      </c>
      <c r="E33" s="18" t="s">
        <v>62</v>
      </c>
    </row>
    <row r="34" spans="1:5">
      <c r="A34" s="20" t="s">
        <v>112</v>
      </c>
      <c r="B34" s="20" t="s">
        <v>65</v>
      </c>
      <c r="C34" s="20" t="s">
        <v>89</v>
      </c>
      <c r="D34" s="21" t="s">
        <v>67</v>
      </c>
      <c r="E34" s="20">
        <v>900</v>
      </c>
    </row>
    <row r="35" spans="1:5">
      <c r="A35" s="20"/>
      <c r="B35" s="20"/>
      <c r="C35" s="20" t="s">
        <v>66</v>
      </c>
      <c r="D35" s="21" t="s">
        <v>69</v>
      </c>
      <c r="E35" s="20">
        <v>600</v>
      </c>
    </row>
    <row r="36" spans="1:5">
      <c r="A36" s="20"/>
      <c r="B36" s="20"/>
      <c r="C36" s="20" t="s">
        <v>114</v>
      </c>
      <c r="D36" s="21" t="s">
        <v>71</v>
      </c>
      <c r="E36" s="20">
        <v>400</v>
      </c>
    </row>
    <row r="37" spans="1:5">
      <c r="A37" s="20"/>
      <c r="B37" s="20"/>
      <c r="C37" s="20" t="s">
        <v>127</v>
      </c>
      <c r="D37" s="21" t="s">
        <v>73</v>
      </c>
      <c r="E37" s="20">
        <v>300</v>
      </c>
    </row>
    <row r="38" spans="1:5">
      <c r="A38" s="20"/>
      <c r="B38" s="20"/>
      <c r="C38" s="20" t="s">
        <v>90</v>
      </c>
      <c r="D38" s="21" t="s">
        <v>96</v>
      </c>
      <c r="E38" s="20">
        <v>200</v>
      </c>
    </row>
    <row r="39" spans="1:5">
      <c r="A39" s="20"/>
      <c r="B39" s="20"/>
      <c r="C39" s="20" t="s">
        <v>125</v>
      </c>
      <c r="D39" s="21" t="s">
        <v>99</v>
      </c>
      <c r="E39" s="20">
        <v>200</v>
      </c>
    </row>
    <row r="40" spans="1:5">
      <c r="A40" s="20"/>
      <c r="B40" s="20" t="s">
        <v>74</v>
      </c>
      <c r="C40" s="20" t="s">
        <v>100</v>
      </c>
      <c r="D40" s="21" t="s">
        <v>67</v>
      </c>
      <c r="E40" s="20">
        <v>900</v>
      </c>
    </row>
    <row r="41" ht="14" customHeight="1" spans="1:5">
      <c r="A41" s="20"/>
      <c r="B41" s="20"/>
      <c r="C41" s="20" t="s">
        <v>77</v>
      </c>
      <c r="D41" s="21" t="s">
        <v>69</v>
      </c>
      <c r="E41" s="20">
        <v>600</v>
      </c>
    </row>
    <row r="42" spans="1:5">
      <c r="A42" s="20"/>
      <c r="B42" s="20"/>
      <c r="C42" s="20" t="s">
        <v>76</v>
      </c>
      <c r="D42" s="21" t="s">
        <v>71</v>
      </c>
      <c r="E42" s="20">
        <v>400</v>
      </c>
    </row>
    <row r="43" spans="1:5">
      <c r="A43" s="20"/>
      <c r="B43" s="20"/>
      <c r="C43" s="20" t="s">
        <v>102</v>
      </c>
      <c r="D43" s="21" t="s">
        <v>73</v>
      </c>
      <c r="E43" s="20">
        <v>300</v>
      </c>
    </row>
    <row r="44" spans="1:5">
      <c r="A44" s="20"/>
      <c r="B44" s="20"/>
      <c r="C44" s="20" t="s">
        <v>122</v>
      </c>
      <c r="D44" s="21" t="s">
        <v>96</v>
      </c>
      <c r="E44" s="20">
        <v>200</v>
      </c>
    </row>
    <row r="45" spans="1:5">
      <c r="A45" s="20"/>
      <c r="B45" s="20"/>
      <c r="C45" s="20" t="s">
        <v>117</v>
      </c>
      <c r="D45" s="21" t="s">
        <v>99</v>
      </c>
      <c r="E45" s="20">
        <v>200</v>
      </c>
    </row>
    <row r="46" spans="1:5">
      <c r="A46" s="20"/>
      <c r="B46" s="20" t="s">
        <v>79</v>
      </c>
      <c r="C46" s="20" t="s">
        <v>104</v>
      </c>
      <c r="D46" s="21" t="s">
        <v>67</v>
      </c>
      <c r="E46" s="20">
        <v>900</v>
      </c>
    </row>
    <row r="47" spans="1:5">
      <c r="A47" s="20"/>
      <c r="B47" s="20"/>
      <c r="C47" s="20" t="s">
        <v>103</v>
      </c>
      <c r="D47" s="21" t="s">
        <v>69</v>
      </c>
      <c r="E47" s="20">
        <v>600</v>
      </c>
    </row>
    <row r="48" spans="1:5">
      <c r="A48" s="20"/>
      <c r="B48" s="20"/>
      <c r="C48" s="20" t="s">
        <v>106</v>
      </c>
      <c r="D48" s="21" t="s">
        <v>71</v>
      </c>
      <c r="E48" s="20">
        <v>400</v>
      </c>
    </row>
    <row r="49" spans="1:13">
      <c r="A49" s="20"/>
      <c r="B49" s="20"/>
      <c r="C49" s="20" t="s">
        <v>128</v>
      </c>
      <c r="D49" s="21" t="s">
        <v>73</v>
      </c>
      <c r="E49" s="20">
        <v>300</v>
      </c>
    </row>
    <row r="50" spans="1:13">
      <c r="A50" s="20"/>
      <c r="B50" s="20"/>
      <c r="C50" s="20" t="s">
        <v>129</v>
      </c>
      <c r="D50" s="21" t="s">
        <v>96</v>
      </c>
      <c r="E50" s="20">
        <v>200</v>
      </c>
    </row>
    <row r="51" spans="1:13">
      <c r="A51" s="20"/>
      <c r="B51" s="20"/>
      <c r="C51" s="20" t="s">
        <v>80</v>
      </c>
      <c r="D51" s="21" t="s">
        <v>99</v>
      </c>
      <c r="E51" s="20">
        <v>200</v>
      </c>
    </row>
    <row r="52" spans="1:13">
      <c r="A52" s="20"/>
      <c r="B52" s="20"/>
      <c r="C52" s="20"/>
      <c r="D52" s="20"/>
      <c r="E52" s="20">
        <f>SUM(E34:E51)</f>
        <v>7800</v>
      </c>
    </row>
    <row r="54" ht="12" spans="1:13">
      <c r="A54" s="31"/>
      <c r="B54" s="31"/>
      <c r="C54" s="31"/>
      <c r="D54" s="31"/>
      <c r="E54" s="31"/>
    </row>
    <row r="55" s="27" customFormat="1" ht="15" customHeight="1" spans="1:13">
      <c r="A55" s="18" t="s">
        <v>58</v>
      </c>
      <c r="B55" s="18"/>
      <c r="C55" s="18" t="s">
        <v>60</v>
      </c>
      <c r="D55" s="18" t="s">
        <v>61</v>
      </c>
      <c r="E55" s="18" t="s">
        <v>62</v>
      </c>
      <c r="G55" s="32"/>
      <c r="M55" s="32"/>
    </row>
    <row r="56" s="27" customFormat="1" ht="15" customHeight="1" spans="1:13">
      <c r="A56" s="33" t="s">
        <v>119</v>
      </c>
      <c r="B56" s="34"/>
      <c r="C56" s="35" t="s">
        <v>130</v>
      </c>
      <c r="D56" s="21" t="s">
        <v>67</v>
      </c>
      <c r="E56" s="36">
        <v>900</v>
      </c>
      <c r="G56" s="32"/>
      <c r="M56" s="32"/>
    </row>
    <row r="57" s="27" customFormat="1" ht="15" customHeight="1" spans="1:13">
      <c r="A57" s="37"/>
      <c r="B57" s="38"/>
      <c r="C57" s="35" t="s">
        <v>131</v>
      </c>
      <c r="D57" s="21" t="s">
        <v>69</v>
      </c>
      <c r="E57" s="36">
        <v>600</v>
      </c>
      <c r="G57" s="32"/>
      <c r="M57" s="32"/>
    </row>
    <row r="58" s="27" customFormat="1" ht="15" customHeight="1" spans="1:13">
      <c r="A58" s="37"/>
      <c r="B58" s="38"/>
      <c r="C58" s="35" t="s">
        <v>132</v>
      </c>
      <c r="D58" s="21" t="s">
        <v>71</v>
      </c>
      <c r="E58" s="36">
        <v>400</v>
      </c>
      <c r="G58" s="32"/>
      <c r="M58" s="32"/>
    </row>
    <row r="59" s="27" customFormat="1" ht="15" customHeight="1" spans="1:13">
      <c r="A59" s="37"/>
      <c r="B59" s="38"/>
      <c r="C59" s="35" t="s">
        <v>133</v>
      </c>
      <c r="D59" s="21" t="s">
        <v>73</v>
      </c>
      <c r="E59" s="36">
        <v>300</v>
      </c>
      <c r="G59" s="32"/>
      <c r="M59" s="32"/>
    </row>
    <row r="60" s="27" customFormat="1" ht="15" customHeight="1" spans="1:13">
      <c r="A60" s="37"/>
      <c r="B60" s="38"/>
      <c r="C60" s="35" t="s">
        <v>134</v>
      </c>
      <c r="D60" s="21" t="s">
        <v>96</v>
      </c>
      <c r="E60" s="36">
        <v>200</v>
      </c>
      <c r="G60" s="32"/>
      <c r="M60" s="32"/>
    </row>
    <row r="61" s="27" customFormat="1" ht="15" customHeight="1" spans="1:13">
      <c r="A61" s="37"/>
      <c r="B61" s="38"/>
      <c r="C61" s="35" t="s">
        <v>135</v>
      </c>
      <c r="D61" s="21" t="s">
        <v>99</v>
      </c>
      <c r="E61" s="36">
        <v>200</v>
      </c>
      <c r="G61" s="32"/>
      <c r="M61" s="32"/>
    </row>
    <row r="62" s="27" customFormat="1" ht="15" customHeight="1" spans="1:13">
      <c r="A62" s="37"/>
      <c r="B62" s="38"/>
      <c r="C62" s="35" t="s">
        <v>136</v>
      </c>
      <c r="D62" s="21" t="s">
        <v>137</v>
      </c>
      <c r="E62" s="36">
        <v>200</v>
      </c>
      <c r="G62" s="32"/>
      <c r="M62" s="32"/>
    </row>
    <row r="63" s="27" customFormat="1" ht="15" customHeight="1" spans="1:13">
      <c r="A63" s="37"/>
      <c r="B63" s="38"/>
      <c r="C63" s="35" t="s">
        <v>138</v>
      </c>
      <c r="D63" s="21" t="s">
        <v>139</v>
      </c>
      <c r="E63" s="36">
        <v>200</v>
      </c>
      <c r="G63" s="32"/>
      <c r="M63" s="32"/>
    </row>
    <row r="64" s="27" customFormat="1" ht="15" customHeight="1" spans="1:13">
      <c r="A64" s="39"/>
      <c r="B64" s="40"/>
      <c r="C64" s="35" t="s">
        <v>140</v>
      </c>
      <c r="D64" s="21" t="s">
        <v>141</v>
      </c>
      <c r="E64" s="36">
        <v>200</v>
      </c>
      <c r="G64" s="32"/>
      <c r="M64" s="32"/>
    </row>
    <row r="65" s="27" customFormat="1" ht="15" customHeight="1" spans="1:13">
      <c r="A65" s="23"/>
      <c r="B65" s="23"/>
      <c r="C65" s="23"/>
      <c r="D65" s="23"/>
      <c r="E65" s="22">
        <f>SUM(E56:E64)</f>
        <v>3200</v>
      </c>
      <c r="G65" s="32"/>
      <c r="M65" s="32"/>
    </row>
  </sheetData>
  <mergeCells count="22">
    <mergeCell ref="A1:E1"/>
    <mergeCell ref="A12:E12"/>
    <mergeCell ref="A22:E22"/>
    <mergeCell ref="A32:E32"/>
    <mergeCell ref="A54:E54"/>
    <mergeCell ref="A3:A8"/>
    <mergeCell ref="A14:A19"/>
    <mergeCell ref="A24:A29"/>
    <mergeCell ref="A34:A51"/>
    <mergeCell ref="B3:B4"/>
    <mergeCell ref="B5:B6"/>
    <mergeCell ref="B7:B8"/>
    <mergeCell ref="B14:B15"/>
    <mergeCell ref="B16:B17"/>
    <mergeCell ref="B18:B19"/>
    <mergeCell ref="B24:B25"/>
    <mergeCell ref="B26:B27"/>
    <mergeCell ref="B28:B29"/>
    <mergeCell ref="B34:B39"/>
    <mergeCell ref="B40:B45"/>
    <mergeCell ref="B46:B51"/>
    <mergeCell ref="A56:B64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8"/>
  <sheetViews>
    <sheetView tabSelected="1" zoomScale="90" zoomScaleNormal="90" workbookViewId="0">
      <selection activeCell="E25" sqref="E25"/>
    </sheetView>
  </sheetViews>
  <sheetFormatPr defaultColWidth="9" defaultRowHeight="16.5" outlineLevelCol="4"/>
  <cols>
    <col min="1" max="1" width="20.7818181818182" style="1" customWidth="1"/>
    <col min="2" max="2" width="9" style="1"/>
    <col min="3" max="3" width="12.2181818181818" style="1" customWidth="1"/>
    <col min="4" max="4" width="20.1090909090909" style="1" customWidth="1"/>
    <col min="5" max="5" width="10.5545454545455" style="2" customWidth="1"/>
    <col min="6" max="16384" width="9" style="1"/>
  </cols>
  <sheetData>
    <row r="1" spans="1:5">
      <c r="A1" s="3" t="s">
        <v>142</v>
      </c>
      <c r="B1" s="3"/>
      <c r="C1" s="3"/>
      <c r="D1" s="3"/>
      <c r="E1" s="3"/>
    </row>
    <row r="2" spans="1:5">
      <c r="A2" s="4" t="s">
        <v>58</v>
      </c>
      <c r="B2" s="4" t="s">
        <v>59</v>
      </c>
      <c r="C2" s="4" t="s">
        <v>60</v>
      </c>
      <c r="D2" s="4" t="s">
        <v>61</v>
      </c>
      <c r="E2" s="4" t="s">
        <v>62</v>
      </c>
    </row>
    <row r="3" spans="1:5">
      <c r="A3" s="5" t="s">
        <v>143</v>
      </c>
      <c r="B3" s="5" t="s">
        <v>65</v>
      </c>
      <c r="C3" s="6" t="s">
        <v>125</v>
      </c>
      <c r="D3" s="7" t="s">
        <v>67</v>
      </c>
      <c r="E3" s="8">
        <v>600</v>
      </c>
    </row>
    <row r="4" spans="1:5">
      <c r="A4" s="9"/>
      <c r="B4" s="10"/>
      <c r="C4" s="6" t="s">
        <v>114</v>
      </c>
      <c r="D4" s="7" t="s">
        <v>69</v>
      </c>
      <c r="E4" s="8">
        <v>500</v>
      </c>
    </row>
    <row r="5" spans="1:5">
      <c r="A5" s="9"/>
      <c r="B5" s="10"/>
      <c r="C5" s="6" t="s">
        <v>127</v>
      </c>
      <c r="D5" s="7" t="s">
        <v>71</v>
      </c>
      <c r="E5" s="8">
        <v>400</v>
      </c>
    </row>
    <row r="6" spans="1:5">
      <c r="A6" s="9"/>
      <c r="B6" s="11"/>
      <c r="C6" s="12" t="s">
        <v>144</v>
      </c>
      <c r="D6" s="13" t="s">
        <v>73</v>
      </c>
      <c r="E6" s="8">
        <v>300</v>
      </c>
    </row>
    <row r="7" spans="1:5">
      <c r="A7" s="9"/>
      <c r="B7" s="5" t="s">
        <v>74</v>
      </c>
      <c r="C7" s="6" t="s">
        <v>77</v>
      </c>
      <c r="D7" s="7" t="s">
        <v>67</v>
      </c>
      <c r="E7" s="8">
        <v>600</v>
      </c>
    </row>
    <row r="8" spans="1:5">
      <c r="A8" s="9"/>
      <c r="B8" s="10"/>
      <c r="C8" s="6" t="s">
        <v>100</v>
      </c>
      <c r="D8" s="7" t="s">
        <v>69</v>
      </c>
      <c r="E8" s="8">
        <v>400</v>
      </c>
    </row>
    <row r="9" spans="1:5">
      <c r="A9" s="9"/>
      <c r="B9" s="10"/>
      <c r="C9" s="6" t="s">
        <v>78</v>
      </c>
      <c r="D9" s="7" t="s">
        <v>71</v>
      </c>
      <c r="E9" s="8">
        <v>300</v>
      </c>
    </row>
    <row r="10" spans="1:5">
      <c r="A10" s="9"/>
      <c r="B10" s="11"/>
      <c r="C10" s="12" t="s">
        <v>122</v>
      </c>
      <c r="D10" s="13" t="s">
        <v>73</v>
      </c>
      <c r="E10" s="8">
        <v>300</v>
      </c>
    </row>
    <row r="11" spans="1:5">
      <c r="A11" s="9"/>
      <c r="B11" s="5" t="s">
        <v>79</v>
      </c>
      <c r="C11" s="6" t="s">
        <v>103</v>
      </c>
      <c r="D11" s="7" t="s">
        <v>67</v>
      </c>
      <c r="E11" s="8">
        <v>600</v>
      </c>
    </row>
    <row r="12" spans="1:5">
      <c r="A12" s="9"/>
      <c r="B12" s="10"/>
      <c r="C12" s="6" t="s">
        <v>126</v>
      </c>
      <c r="D12" s="7" t="s">
        <v>69</v>
      </c>
      <c r="E12" s="8">
        <v>400</v>
      </c>
    </row>
    <row r="13" spans="1:5">
      <c r="A13" s="9"/>
      <c r="B13" s="10"/>
      <c r="C13" s="6" t="s">
        <v>82</v>
      </c>
      <c r="D13" s="7" t="s">
        <v>71</v>
      </c>
      <c r="E13" s="8">
        <v>300</v>
      </c>
    </row>
    <row r="14" spans="1:5">
      <c r="A14" s="14"/>
      <c r="B14" s="11"/>
      <c r="C14" s="12" t="s">
        <v>123</v>
      </c>
      <c r="D14" s="13" t="s">
        <v>73</v>
      </c>
      <c r="E14" s="8">
        <v>300</v>
      </c>
    </row>
    <row r="15" spans="1:5">
      <c r="A15" s="15"/>
      <c r="B15" s="15"/>
      <c r="C15" s="15"/>
      <c r="D15" s="15"/>
      <c r="E15" s="16">
        <f>SUM(E3:E14)</f>
        <v>5000</v>
      </c>
    </row>
    <row r="17" spans="1:5">
      <c r="A17" s="17"/>
      <c r="B17" s="17"/>
      <c r="C17" s="17"/>
      <c r="D17" s="17"/>
      <c r="E17" s="17"/>
    </row>
    <row r="18" spans="1:5">
      <c r="A18" s="18" t="s">
        <v>58</v>
      </c>
      <c r="B18" s="18" t="s">
        <v>59</v>
      </c>
      <c r="C18" s="18" t="s">
        <v>60</v>
      </c>
      <c r="D18" s="18" t="s">
        <v>61</v>
      </c>
      <c r="E18" s="18" t="s">
        <v>62</v>
      </c>
    </row>
    <row r="19" spans="1:5">
      <c r="A19" s="19" t="s">
        <v>145</v>
      </c>
      <c r="B19" s="20" t="s">
        <v>65</v>
      </c>
      <c r="C19" s="21" t="s">
        <v>146</v>
      </c>
      <c r="D19" s="21" t="s">
        <v>67</v>
      </c>
      <c r="E19" s="22">
        <v>400</v>
      </c>
    </row>
    <row r="20" spans="1:5">
      <c r="A20" s="19"/>
      <c r="B20" s="20"/>
      <c r="C20" s="21" t="s">
        <v>66</v>
      </c>
      <c r="D20" s="21" t="s">
        <v>69</v>
      </c>
      <c r="E20" s="22">
        <v>200</v>
      </c>
    </row>
    <row r="21" spans="1:5">
      <c r="A21" s="19"/>
      <c r="B21" s="20" t="s">
        <v>74</v>
      </c>
      <c r="C21" s="21" t="s">
        <v>100</v>
      </c>
      <c r="D21" s="21" t="s">
        <v>67</v>
      </c>
      <c r="E21" s="22">
        <v>400</v>
      </c>
    </row>
    <row r="22" spans="1:5">
      <c r="A22" s="19"/>
      <c r="B22" s="20"/>
      <c r="C22" s="21" t="s">
        <v>93</v>
      </c>
      <c r="D22" s="21" t="s">
        <v>69</v>
      </c>
      <c r="E22" s="22">
        <v>200</v>
      </c>
    </row>
    <row r="23" spans="1:5">
      <c r="A23" s="19"/>
      <c r="B23" s="20" t="s">
        <v>79</v>
      </c>
      <c r="C23" s="21" t="s">
        <v>147</v>
      </c>
      <c r="D23" s="21" t="s">
        <v>67</v>
      </c>
      <c r="E23" s="22">
        <v>400</v>
      </c>
    </row>
    <row r="24" spans="1:5">
      <c r="A24" s="19"/>
      <c r="B24" s="20"/>
      <c r="C24" s="21" t="s">
        <v>148</v>
      </c>
      <c r="D24" s="21" t="s">
        <v>69</v>
      </c>
      <c r="E24" s="22">
        <v>200</v>
      </c>
    </row>
    <row r="25" spans="1:5">
      <c r="A25" s="23"/>
      <c r="B25" s="23"/>
      <c r="C25" s="23"/>
      <c r="D25" s="23"/>
      <c r="E25" s="24">
        <f>SUM(E19:E24)</f>
        <v>1800</v>
      </c>
    </row>
    <row r="27" spans="1:5">
      <c r="A27" s="17"/>
      <c r="B27" s="17"/>
      <c r="C27" s="17"/>
      <c r="D27" s="17"/>
      <c r="E27" s="17"/>
    </row>
    <row r="28" spans="1:5">
      <c r="A28" s="18" t="s">
        <v>58</v>
      </c>
      <c r="B28" s="18" t="s">
        <v>59</v>
      </c>
      <c r="C28" s="18" t="s">
        <v>60</v>
      </c>
      <c r="D28" s="18" t="s">
        <v>61</v>
      </c>
      <c r="E28" s="18" t="s">
        <v>62</v>
      </c>
    </row>
    <row r="29" spans="1:5">
      <c r="A29" s="19" t="s">
        <v>149</v>
      </c>
      <c r="B29" s="20" t="s">
        <v>65</v>
      </c>
      <c r="C29" s="21" t="s">
        <v>92</v>
      </c>
      <c r="D29" s="21" t="s">
        <v>67</v>
      </c>
      <c r="E29" s="22">
        <v>400</v>
      </c>
    </row>
    <row r="30" spans="1:5">
      <c r="A30" s="19"/>
      <c r="B30" s="20"/>
      <c r="C30" s="21" t="s">
        <v>90</v>
      </c>
      <c r="D30" s="21" t="s">
        <v>69</v>
      </c>
      <c r="E30" s="22">
        <v>200</v>
      </c>
    </row>
    <row r="31" spans="1:5">
      <c r="A31" s="19"/>
      <c r="B31" s="20" t="s">
        <v>74</v>
      </c>
      <c r="C31" s="21" t="s">
        <v>150</v>
      </c>
      <c r="D31" s="21" t="s">
        <v>67</v>
      </c>
      <c r="E31" s="22">
        <v>400</v>
      </c>
    </row>
    <row r="32" spans="1:5">
      <c r="A32" s="19"/>
      <c r="B32" s="20"/>
      <c r="C32" s="21" t="s">
        <v>78</v>
      </c>
      <c r="D32" s="21" t="s">
        <v>69</v>
      </c>
      <c r="E32" s="22">
        <v>200</v>
      </c>
    </row>
    <row r="33" spans="1:5">
      <c r="A33" s="19"/>
      <c r="B33" s="20" t="s">
        <v>79</v>
      </c>
      <c r="C33" s="21" t="s">
        <v>83</v>
      </c>
      <c r="D33" s="21" t="s">
        <v>67</v>
      </c>
      <c r="E33" s="22">
        <v>400</v>
      </c>
    </row>
    <row r="34" spans="1:5">
      <c r="A34" s="19"/>
      <c r="B34" s="20"/>
      <c r="C34" s="21" t="s">
        <v>80</v>
      </c>
      <c r="D34" s="21" t="s">
        <v>69</v>
      </c>
      <c r="E34" s="22">
        <v>200</v>
      </c>
    </row>
    <row r="35" spans="1:5">
      <c r="A35" s="23"/>
      <c r="B35" s="23"/>
      <c r="C35" s="23"/>
      <c r="D35" s="23"/>
      <c r="E35" s="24">
        <f>SUM(E29:E34)</f>
        <v>1800</v>
      </c>
    </row>
    <row r="37" spans="1:5">
      <c r="A37" s="17"/>
      <c r="B37" s="17"/>
      <c r="C37" s="17"/>
      <c r="D37" s="17"/>
      <c r="E37" s="17"/>
    </row>
    <row r="38" spans="1:5">
      <c r="D38" s="18" t="s">
        <v>60</v>
      </c>
      <c r="E38" s="18" t="s">
        <v>62</v>
      </c>
    </row>
    <row r="39" spans="1:5">
      <c r="A39" s="25" t="s">
        <v>151</v>
      </c>
      <c r="B39" s="25"/>
      <c r="C39" s="25"/>
      <c r="D39" s="26" t="s">
        <v>66</v>
      </c>
      <c r="E39" s="25">
        <f>200+900</f>
        <v>1100</v>
      </c>
    </row>
    <row r="40" spans="1:5">
      <c r="A40" s="25"/>
      <c r="B40" s="25"/>
      <c r="C40" s="25"/>
      <c r="D40" s="26" t="s">
        <v>152</v>
      </c>
      <c r="E40" s="25">
        <f>200+600</f>
        <v>800</v>
      </c>
    </row>
    <row r="41" spans="1:5">
      <c r="A41" s="25"/>
      <c r="B41" s="25"/>
      <c r="C41" s="25"/>
      <c r="D41" s="26" t="s">
        <v>114</v>
      </c>
      <c r="E41" s="25">
        <f>200+400</f>
        <v>600</v>
      </c>
    </row>
    <row r="42" spans="1:5">
      <c r="A42" s="25"/>
      <c r="B42" s="25"/>
      <c r="C42" s="25"/>
      <c r="D42" s="26" t="s">
        <v>90</v>
      </c>
      <c r="E42" s="25">
        <f>200+300</f>
        <v>500</v>
      </c>
    </row>
    <row r="43" spans="1:5">
      <c r="A43" s="25"/>
      <c r="B43" s="25"/>
      <c r="C43" s="25"/>
      <c r="D43" s="26" t="s">
        <v>144</v>
      </c>
      <c r="E43" s="25">
        <f>200+200</f>
        <v>400</v>
      </c>
    </row>
    <row r="44" spans="1:5">
      <c r="A44" s="25"/>
      <c r="B44" s="25"/>
      <c r="C44" s="25"/>
      <c r="D44" s="26" t="s">
        <v>153</v>
      </c>
      <c r="E44" s="25">
        <f>200+200</f>
        <v>400</v>
      </c>
    </row>
    <row r="45" spans="1:5">
      <c r="A45" s="25"/>
      <c r="B45" s="25"/>
      <c r="C45" s="25"/>
      <c r="D45" s="26" t="s">
        <v>81</v>
      </c>
      <c r="E45" s="25">
        <v>200</v>
      </c>
    </row>
    <row r="46" spans="1:5">
      <c r="A46" s="25"/>
      <c r="B46" s="25"/>
      <c r="C46" s="25"/>
      <c r="D46" s="26" t="s">
        <v>154</v>
      </c>
      <c r="E46" s="25">
        <v>200</v>
      </c>
    </row>
    <row r="47" spans="1:5">
      <c r="A47" s="25"/>
      <c r="B47" s="25"/>
      <c r="C47" s="25"/>
      <c r="D47" s="26" t="s">
        <v>155</v>
      </c>
      <c r="E47" s="25">
        <v>200</v>
      </c>
    </row>
    <row r="48" spans="1:5">
      <c r="A48" s="25"/>
      <c r="B48" s="25"/>
      <c r="C48" s="25"/>
      <c r="D48" s="26" t="s">
        <v>123</v>
      </c>
      <c r="E48" s="25">
        <v>200</v>
      </c>
    </row>
    <row r="49" spans="1:5">
      <c r="A49" s="25"/>
      <c r="B49" s="25"/>
      <c r="C49" s="25"/>
      <c r="D49" s="26" t="s">
        <v>89</v>
      </c>
      <c r="E49" s="25">
        <v>200</v>
      </c>
    </row>
    <row r="50" spans="1:5">
      <c r="A50" s="25"/>
      <c r="B50" s="25"/>
      <c r="C50" s="25"/>
      <c r="D50" s="26" t="s">
        <v>117</v>
      </c>
      <c r="E50" s="25">
        <v>200</v>
      </c>
    </row>
    <row r="51" spans="1:5">
      <c r="A51" s="25"/>
      <c r="B51" s="25"/>
      <c r="C51" s="25"/>
      <c r="D51" s="26" t="s">
        <v>125</v>
      </c>
      <c r="E51" s="25">
        <v>200</v>
      </c>
    </row>
    <row r="52" spans="1:5">
      <c r="A52" s="25"/>
      <c r="B52" s="25"/>
      <c r="C52" s="25"/>
      <c r="D52" s="26" t="s">
        <v>148</v>
      </c>
      <c r="E52" s="25">
        <v>200</v>
      </c>
    </row>
    <row r="53" spans="1:5">
      <c r="A53" s="25"/>
      <c r="B53" s="25"/>
      <c r="C53" s="25"/>
      <c r="D53" s="26" t="s">
        <v>127</v>
      </c>
      <c r="E53" s="25">
        <v>200</v>
      </c>
    </row>
    <row r="54" spans="1:5">
      <c r="A54" s="25"/>
      <c r="B54" s="25"/>
      <c r="C54" s="25"/>
      <c r="D54" s="26" t="s">
        <v>156</v>
      </c>
      <c r="E54" s="25">
        <v>200</v>
      </c>
    </row>
    <row r="55" spans="1:5">
      <c r="A55" s="25"/>
      <c r="B55" s="25"/>
      <c r="C55" s="25"/>
      <c r="D55" s="26" t="s">
        <v>91</v>
      </c>
      <c r="E55" s="25">
        <v>200</v>
      </c>
    </row>
    <row r="56" spans="1:5">
      <c r="A56" s="25"/>
      <c r="B56" s="25"/>
      <c r="C56" s="25"/>
      <c r="D56" s="26" t="s">
        <v>157</v>
      </c>
      <c r="E56" s="25">
        <v>200</v>
      </c>
    </row>
    <row r="57" spans="1:5">
      <c r="A57" s="25"/>
      <c r="B57" s="25"/>
      <c r="C57" s="25"/>
      <c r="D57" s="26" t="s">
        <v>158</v>
      </c>
      <c r="E57" s="25">
        <v>200</v>
      </c>
    </row>
    <row r="58" spans="1:5">
      <c r="A58" s="23"/>
      <c r="B58" s="23"/>
      <c r="C58" s="23"/>
      <c r="D58" s="23"/>
      <c r="E58" s="24">
        <f>SUM(E39:E57)</f>
        <v>6400</v>
      </c>
    </row>
  </sheetData>
  <mergeCells count="17">
    <mergeCell ref="A1:E1"/>
    <mergeCell ref="A17:E17"/>
    <mergeCell ref="A27:E27"/>
    <mergeCell ref="A37:E37"/>
    <mergeCell ref="A3:A14"/>
    <mergeCell ref="A19:A24"/>
    <mergeCell ref="A29:A34"/>
    <mergeCell ref="B3:B6"/>
    <mergeCell ref="B7:B10"/>
    <mergeCell ref="B11:B14"/>
    <mergeCell ref="B19:B20"/>
    <mergeCell ref="B21:B22"/>
    <mergeCell ref="B23:B24"/>
    <mergeCell ref="B29:B30"/>
    <mergeCell ref="B31:B32"/>
    <mergeCell ref="B33:B34"/>
    <mergeCell ref="A39:C5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晓腾</cp:lastModifiedBy>
  <dcterms:created xsi:type="dcterms:W3CDTF">2023-05-12T11:15:00Z</dcterms:created>
  <dcterms:modified xsi:type="dcterms:W3CDTF">2026-06-09T11:20:49Z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566B61F317B6452B94972DD6E02AC571_12</vt:lpwstr>
  </property>
  <property fmtid="{D5CDD505-2E9C-101B-9397-08002B2CF9AE}" pid="4" name="CalculationRule">
    <vt:i4>0</vt:i4>
  </property>
</Properties>
</file>